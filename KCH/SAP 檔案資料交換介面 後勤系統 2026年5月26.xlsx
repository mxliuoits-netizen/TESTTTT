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drawings/drawing5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0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pcsccloud-my.sharepoint.com/personal/garfield_mail_7-11_com_tw/Documents/E-考勤系統/PIC後勤考勤建置/PIC提供專案資料/系統需求單/SAP主檔/"/>
    </mc:Choice>
  </mc:AlternateContent>
  <xr:revisionPtr revIDLastSave="0" documentId="8_{B970CB0F-F47D-4D66-B722-AC59619858E4}" xr6:coauthVersionLast="47" xr6:coauthVersionMax="47" xr10:uidLastSave="{00000000-0000-0000-0000-000000000000}"/>
  <bookViews>
    <workbookView xWindow="28680" yWindow="-120" windowWidth="29040" windowHeight="15720" tabRatio="757" firstSheet="4" activeTab="4" xr2:uid="{00000000-000D-0000-FFFF-FFFF00000000}"/>
  </bookViews>
  <sheets>
    <sheet name="目錄" sheetId="1" r:id="rId1"/>
    <sheet name="彙報關係" sheetId="11" r:id="rId2"/>
    <sheet name="組織主檔" sheetId="8" r:id="rId3"/>
    <sheet name="剩餘假主檔" sheetId="10" r:id="rId4"/>
    <sheet name="員工異動記錄" sheetId="18" r:id="rId5"/>
    <sheet name="在職員工主檔" sheetId="7" r:id="rId6"/>
    <sheet name="後勤刷卡卡鐘" sheetId="19" r:id="rId7"/>
    <sheet name="門市刷卡" sheetId="20" r:id="rId8"/>
    <sheet name="PT考勤總額" sheetId="15" r:id="rId9"/>
    <sheet name="加班明細" sheetId="14" r:id="rId10"/>
    <sheet name="休假資料" sheetId="3" r:id="rId11"/>
    <sheet name="薪資單" sheetId="16" r:id="rId12"/>
    <sheet name="其他" sheetId="17" r:id="rId13"/>
    <sheet name="自選式福利額度" sheetId="12" r:id="rId14"/>
    <sheet name="自選式福利申請" sheetId="13" r:id="rId15"/>
    <sheet name="員工異動主檔" sheetId="6" r:id="rId16"/>
    <sheet name="考勤總額時數" sheetId="2" r:id="rId1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1" l="1"/>
  <c r="C17" i="1"/>
  <c r="C19" i="1"/>
  <c r="C9" i="1"/>
  <c r="C10" i="1"/>
  <c r="C15" i="1"/>
  <c r="C14" i="1"/>
  <c r="C6" i="1"/>
  <c r="C7" i="1"/>
  <c r="C16" i="1"/>
  <c r="C8" i="1"/>
  <c r="C1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rita</author>
  </authors>
  <commentList>
    <comment ref="C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rita: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因要查門市刷卡記錄, 需所有組織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rita</author>
  </authors>
  <commentList>
    <comment ref="E13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rita:</t>
        </r>
        <r>
          <rPr>
            <sz val="9"/>
            <color indexed="81"/>
            <rFont val="Tahoma"/>
            <family val="2"/>
          </rPr>
          <t xml:space="preserve">
PT</t>
        </r>
        <r>
          <rPr>
            <sz val="9"/>
            <color indexed="81"/>
            <rFont val="細明體"/>
            <family val="3"/>
            <charset val="136"/>
          </rPr>
          <t>為</t>
        </r>
        <r>
          <rPr>
            <sz val="9"/>
            <color indexed="81"/>
            <rFont val="Tahoma"/>
            <family val="2"/>
          </rPr>
          <t>1478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rita</author>
  </authors>
  <commentList>
    <comment ref="E7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rita:</t>
        </r>
        <r>
          <rPr>
            <sz val="9"/>
            <color indexed="81"/>
            <rFont val="Tahoma"/>
            <family val="2"/>
          </rPr>
          <t xml:space="preserve">
ONLY FT</t>
        </r>
      </text>
    </comment>
    <comment ref="F7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rita:</t>
        </r>
        <r>
          <rPr>
            <sz val="9"/>
            <color indexed="81"/>
            <rFont val="Tahoma"/>
            <family val="2"/>
          </rPr>
          <t xml:space="preserve">
FT/PT</t>
        </r>
        <r>
          <rPr>
            <sz val="9"/>
            <color indexed="81"/>
            <rFont val="細明體"/>
            <family val="3"/>
            <charset val="136"/>
          </rPr>
          <t>皆有</t>
        </r>
      </text>
    </comment>
    <comment ref="J7" authorId="0" shapeId="0" xr:uid="{00000000-0006-0000-0E00-000003000000}">
      <text>
        <r>
          <rPr>
            <b/>
            <sz val="9"/>
            <color indexed="81"/>
            <rFont val="Tahoma"/>
            <family val="2"/>
          </rPr>
          <t>rita:</t>
        </r>
        <r>
          <rPr>
            <sz val="9"/>
            <color indexed="81"/>
            <rFont val="Tahoma"/>
            <family val="2"/>
          </rPr>
          <t xml:space="preserve">
ONLY FT
</t>
        </r>
        <r>
          <rPr>
            <sz val="9"/>
            <color indexed="81"/>
            <rFont val="細明體"/>
            <family val="3"/>
            <charset val="136"/>
          </rPr>
          <t>前</t>
        </r>
        <r>
          <rPr>
            <sz val="9"/>
            <color indexed="81"/>
            <rFont val="Tahoma"/>
            <family val="2"/>
          </rPr>
          <t>2</t>
        </r>
      </text>
    </comment>
    <comment ref="L7" authorId="0" shapeId="0" xr:uid="{00000000-0006-0000-0E00-000004000000}">
      <text>
        <r>
          <rPr>
            <b/>
            <sz val="9"/>
            <color indexed="81"/>
            <rFont val="Tahoma"/>
            <family val="2"/>
          </rPr>
          <t>rita: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後</t>
        </r>
        <r>
          <rPr>
            <sz val="9"/>
            <color indexed="81"/>
            <rFont val="Tahoma"/>
            <family val="2"/>
          </rPr>
          <t>6</t>
        </r>
      </text>
    </comment>
  </commentList>
</comments>
</file>

<file path=xl/sharedStrings.xml><?xml version="1.0" encoding="utf-8"?>
<sst xmlns="http://schemas.openxmlformats.org/spreadsheetml/2006/main" count="1004" uniqueCount="475">
  <si>
    <t>檔案型態</t>
    <phoneticPr fontId="2" type="noConversion"/>
  </si>
  <si>
    <t>檔案名稱</t>
    <phoneticPr fontId="2" type="noConversion"/>
  </si>
  <si>
    <t>轉檔/產檔頻率</t>
    <phoneticPr fontId="2" type="noConversion"/>
  </si>
  <si>
    <t>後勤考勤</t>
    <phoneticPr fontId="1" type="noConversion"/>
  </si>
  <si>
    <t>人資主檔</t>
    <phoneticPr fontId="2" type="noConversion"/>
  </si>
  <si>
    <t>每天 4:00收檔</t>
    <phoneticPr fontId="2" type="noConversion"/>
  </si>
  <si>
    <t>sap hr--&gt;後勤考勤</t>
    <phoneticPr fontId="1" type="noConversion"/>
  </si>
  <si>
    <t>only超商, 當日有效
行政組織+彙報關係(POSITION無人時, 往上抓)</t>
    <phoneticPr fontId="1" type="noConversion"/>
  </si>
  <si>
    <t>rs_REPORTINGYYYYMMDD.TXT</t>
    <phoneticPr fontId="2" type="noConversion"/>
  </si>
  <si>
    <t>ONLY超商當日有效組織</t>
    <phoneticPr fontId="1" type="noConversion"/>
  </si>
  <si>
    <t>rs_DEPTYYYYMMDD.TXT</t>
    <phoneticPr fontId="2" type="noConversion"/>
  </si>
  <si>
    <t>超商, 非代休假的所有假別(所有有效+未來的)
同員工同假別同日期可能會多筆</t>
    <phoneticPr fontId="1" type="noConversion"/>
  </si>
  <si>
    <t>rs_QUOTAYYYYMMDD.TXT</t>
    <phoneticPr fontId="2" type="noConversion"/>
  </si>
  <si>
    <t>每天</t>
    <phoneticPr fontId="2" type="noConversion"/>
  </si>
  <si>
    <t>ONLY超商
考勤當月(上月21-本月20)生效的人員異動(僅部份異動類型)</t>
    <phoneticPr fontId="1" type="noConversion"/>
  </si>
  <si>
    <t>rs_EMP_DIFFYYYYMMDD.TXT</t>
    <phoneticPr fontId="2" type="noConversion"/>
  </si>
  <si>
    <t>不需此檔</t>
    <phoneticPr fontId="1" type="noConversion"/>
  </si>
  <si>
    <t>ONLY超商當日有效員工</t>
    <phoneticPr fontId="1" type="noConversion"/>
  </si>
  <si>
    <t>rs_EMP_ACTIVEYYYYMMDD.TXT</t>
    <phoneticPr fontId="2" type="noConversion"/>
  </si>
  <si>
    <t>實體卡鐘</t>
    <phoneticPr fontId="2" type="noConversion"/>
  </si>
  <si>
    <t>後勤刷卡資料</t>
    <phoneticPr fontId="2" type="noConversion"/>
  </si>
  <si>
    <t>每天 5:30收檔</t>
    <phoneticPr fontId="2" type="noConversion"/>
  </si>
  <si>
    <t>卡鐘--&gt;後勤考勤</t>
    <phoneticPr fontId="2" type="noConversion"/>
  </si>
  <si>
    <t>SC</t>
    <phoneticPr fontId="2" type="noConversion"/>
  </si>
  <si>
    <t>門市刷卡資料(區顧問/區經理)</t>
    <phoneticPr fontId="2" type="noConversion"/>
  </si>
  <si>
    <t>SC--&gt;後勤考勤</t>
    <phoneticPr fontId="2" type="noConversion"/>
  </si>
  <si>
    <t>結算回檔SAP</t>
    <phoneticPr fontId="2" type="noConversion"/>
  </si>
  <si>
    <t>每個月25號 1:00</t>
    <phoneticPr fontId="2" type="noConversion"/>
  </si>
  <si>
    <t>後勤考勤--&gt;sap hr</t>
    <phoneticPr fontId="1" type="noConversion"/>
  </si>
  <si>
    <t>rs_PTTOTYYYYMMDD.TXT</t>
    <phoneticPr fontId="2" type="noConversion"/>
  </si>
  <si>
    <t>rs_OVERYYYYMMDD.TXT</t>
    <phoneticPr fontId="2" type="noConversion"/>
  </si>
  <si>
    <t>含遲到資料, 休假可申請取消</t>
    <phoneticPr fontId="1" type="noConversion"/>
  </si>
  <si>
    <t>rs_LEAVEYYYYMMDD.TXT</t>
    <phoneticPr fontId="2" type="noConversion"/>
  </si>
  <si>
    <t>取消</t>
    <phoneticPr fontId="2" type="noConversion"/>
  </si>
  <si>
    <t>rs_BEQUOTAYYYYMMDD.TXT</t>
    <phoneticPr fontId="2" type="noConversion"/>
  </si>
  <si>
    <t>結算回檔</t>
    <phoneticPr fontId="2" type="noConversion"/>
  </si>
  <si>
    <t>rs_BEREQUESTYYYYMMDD.TXT</t>
    <phoneticPr fontId="2" type="noConversion"/>
  </si>
  <si>
    <t>非介接</t>
    <phoneticPr fontId="1" type="noConversion"/>
  </si>
  <si>
    <t>返回目錄</t>
    <phoneticPr fontId="1" type="noConversion"/>
  </si>
  <si>
    <t>超商(只要當日有效資料)</t>
    <phoneticPr fontId="1" type="noConversion"/>
  </si>
  <si>
    <t>行政組織+彙報關係(POSITION無人時, 往上抓)</t>
    <phoneticPr fontId="1" type="noConversion"/>
  </si>
  <si>
    <t>--&gt;無門市</t>
    <phoneticPr fontId="2" type="noConversion"/>
  </si>
  <si>
    <t>檔案命名規則</t>
    <phoneticPr fontId="2" type="noConversion"/>
  </si>
  <si>
    <t>固定字串rs_REPORTING+執行日YYYYMMDD.TXT</t>
    <phoneticPr fontId="2" type="noConversion"/>
  </si>
  <si>
    <t>範例</t>
    <phoneticPr fontId="2" type="noConversion"/>
  </si>
  <si>
    <t>rs_REPORTING20120712.TXT</t>
    <phoneticPr fontId="2" type="noConversion"/>
  </si>
  <si>
    <t>表頭內容</t>
    <phoneticPr fontId="2" type="noConversion"/>
  </si>
  <si>
    <t>文字靠左補空白，數字靠右補0</t>
    <phoneticPr fontId="2" type="noConversion"/>
  </si>
  <si>
    <t>欄位</t>
    <phoneticPr fontId="2" type="noConversion"/>
  </si>
  <si>
    <t>長度</t>
    <phoneticPr fontId="2" type="noConversion"/>
  </si>
  <si>
    <t>說明</t>
    <phoneticPr fontId="2" type="noConversion"/>
  </si>
  <si>
    <t>欄位格式</t>
    <phoneticPr fontId="2" type="noConversion"/>
  </si>
  <si>
    <t>檔案識別</t>
    <phoneticPr fontId="2" type="noConversion"/>
  </si>
  <si>
    <t>固定為rs_REPORTING</t>
    <phoneticPr fontId="2" type="noConversion"/>
  </si>
  <si>
    <t>文字</t>
    <phoneticPr fontId="2" type="noConversion"/>
  </si>
  <si>
    <t>資料日期</t>
    <phoneticPr fontId="2" type="noConversion"/>
  </si>
  <si>
    <t>檔案資料日期(YYYYMMDD)</t>
    <phoneticPr fontId="2" type="noConversion"/>
  </si>
  <si>
    <t>20100720</t>
    <phoneticPr fontId="2" type="noConversion"/>
  </si>
  <si>
    <t>資料筆數</t>
    <phoneticPr fontId="2" type="noConversion"/>
  </si>
  <si>
    <t>數字</t>
    <phoneticPr fontId="2" type="noConversion"/>
  </si>
  <si>
    <t>00000100</t>
    <phoneticPr fontId="2" type="noConversion"/>
  </si>
  <si>
    <t>rs_REPORTING2010072000000100</t>
    <phoneticPr fontId="2" type="noConversion"/>
  </si>
  <si>
    <t>表身內容</t>
    <phoneticPr fontId="2" type="noConversion"/>
  </si>
  <si>
    <t>員工編號</t>
    <phoneticPr fontId="2" type="noConversion"/>
  </si>
  <si>
    <t>阿拉伯數字</t>
    <phoneticPr fontId="2" type="noConversion"/>
  </si>
  <si>
    <t>only超商, 當日有效</t>
    <phoneticPr fontId="1" type="noConversion"/>
  </si>
  <si>
    <t>上層簽核主管員編</t>
    <phoneticPr fontId="2" type="noConversion"/>
  </si>
  <si>
    <t>00000012|00000003</t>
    <phoneticPr fontId="2" type="noConversion"/>
  </si>
  <si>
    <t>檔案格式</t>
    <phoneticPr fontId="2" type="noConversion"/>
  </si>
  <si>
    <t>utf16 little endian</t>
  </si>
  <si>
    <t>欄位分隔符號</t>
    <phoneticPr fontId="2" type="noConversion"/>
  </si>
  <si>
    <t>|</t>
    <phoneticPr fontId="2" type="noConversion"/>
  </si>
  <si>
    <t>換行符號</t>
    <phoneticPr fontId="2" type="noConversion"/>
  </si>
  <si>
    <t>\r\n</t>
    <phoneticPr fontId="2" type="noConversion"/>
  </si>
  <si>
    <t>末行結束</t>
    <phoneticPr fontId="2" type="noConversion"/>
  </si>
  <si>
    <t>exp: a--&gt;?--&gt;b--&gt;c--&gt;d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</si>
  <si>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</si>
  <si>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</si>
  <si>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</si>
  <si>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</si>
  <si>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(空白)</t>
    <phoneticPr fontId="1" type="noConversion"/>
  </si>
  <si>
    <t>2020/3增加商場現場</t>
    <phoneticPr fontId="2" type="noConversion"/>
  </si>
  <si>
    <r>
      <t xml:space="preserve">超商(只要當日有效資料, </t>
    </r>
    <r>
      <rPr>
        <strike/>
        <sz val="12"/>
        <rFont val="微軟正黑體"/>
        <family val="2"/>
        <charset val="136"/>
      </rPr>
      <t>由SAP端篩掉門市的人事子範圍, 但要商場</t>
    </r>
    <r>
      <rPr>
        <sz val="12"/>
        <rFont val="微軟正黑體"/>
        <family val="2"/>
        <charset val="136"/>
      </rPr>
      <t>)</t>
    </r>
    <phoneticPr fontId="1" type="noConversion"/>
  </si>
  <si>
    <t>固定字串rs_DEPT+執行日YYYYMMDD.TXT</t>
    <phoneticPr fontId="2" type="noConversion"/>
  </si>
  <si>
    <t>rs_DEPT20120712.TXT</t>
    <phoneticPr fontId="2" type="noConversion"/>
  </si>
  <si>
    <t>固定為rs_DEPT</t>
    <phoneticPr fontId="2" type="noConversion"/>
  </si>
  <si>
    <t>rs_DEPT2012071200000100</t>
    <phoneticPr fontId="2" type="noConversion"/>
  </si>
  <si>
    <t>成本中心</t>
    <phoneticPr fontId="2" type="noConversion"/>
  </si>
  <si>
    <t>文字 ( 公司成本中心 ), 有可能空白(加盟店無對應的成本中心)</t>
    <phoneticPr fontId="2" type="noConversion"/>
  </si>
  <si>
    <t>組織名稱</t>
    <phoneticPr fontId="2" type="noConversion"/>
  </si>
  <si>
    <t>統一</t>
    <phoneticPr fontId="2" type="noConversion"/>
  </si>
  <si>
    <t>所屬區課編號</t>
    <phoneticPr fontId="1" type="noConversion"/>
  </si>
  <si>
    <t>組織為門市時會有值(同上一層組織)</t>
    <phoneticPr fontId="1" type="noConversion"/>
  </si>
  <si>
    <t>組織單位代碼</t>
    <phoneticPr fontId="2" type="noConversion"/>
  </si>
  <si>
    <t>聯服部門=00000021</t>
    <phoneticPr fontId="1" type="noConversion"/>
  </si>
  <si>
    <t>上一層組織單位代碼</t>
    <phoneticPr fontId="2" type="noConversion"/>
  </si>
  <si>
    <t>人事子範圍</t>
    <phoneticPr fontId="1" type="noConversion"/>
  </si>
  <si>
    <t>參考sap hr人事範圍.員工群組.xlsx</t>
    <phoneticPr fontId="1" type="noConversion"/>
  </si>
  <si>
    <t>依此欄判斷門市, zone</t>
    <phoneticPr fontId="1" type="noConversion"/>
  </si>
  <si>
    <t>組織生效日</t>
    <phoneticPr fontId="1" type="noConversion"/>
  </si>
  <si>
    <t>YYYYMMDD</t>
    <phoneticPr fontId="1" type="noConversion"/>
  </si>
  <si>
    <t>組織各it的生效日不同, 取哪一個生效日</t>
    <phoneticPr fontId="1" type="noConversion"/>
  </si>
  <si>
    <t>主管員編</t>
    <phoneticPr fontId="1" type="noConversion"/>
  </si>
  <si>
    <t>物件縮寫</t>
    <phoneticPr fontId="1" type="noConversion"/>
  </si>
  <si>
    <t>簽核單位的層級(數字大的是層級高的)</t>
    <phoneticPr fontId="1" type="noConversion"/>
  </si>
  <si>
    <t>分類</t>
    <phoneticPr fontId="1" type="noConversion"/>
  </si>
  <si>
    <t>1商場現場/2聯服/3地區/4門市/9其他</t>
    <phoneticPr fontId="1" type="noConversion"/>
  </si>
  <si>
    <t>聯服部門=00000021, 地區, 門市:人事子範圍,商場:以職位上的job code=131、133、134、135</t>
    <phoneticPr fontId="1" type="noConversion"/>
  </si>
  <si>
    <t>891232|統一|10008326 |10008325|2001|10000003|9</t>
    <phoneticPr fontId="2" type="noConversion"/>
  </si>
  <si>
    <t>成本中心：6碼是門市, 其他是後勤單位</t>
    <phoneticPr fontId="2" type="noConversion"/>
  </si>
  <si>
    <t>其中員工有一筆屬商場現場(job+成本中心為SET字頭)時, 即為商場現場</t>
    <phoneticPr fontId="1" type="noConversion"/>
  </si>
  <si>
    <t>超商only</t>
    <phoneticPr fontId="1" type="noConversion"/>
  </si>
  <si>
    <r>
      <t xml:space="preserve">.每日差份, QUOTA有異動(不含已用增減)
</t>
    </r>
    <r>
      <rPr>
        <sz val="10"/>
        <color rgb="FFFF0000"/>
        <rFont val="微軟正黑體"/>
        <family val="2"/>
        <charset val="136"/>
      </rPr>
      <t xml:space="preserve">.每月1日提供當時及未來有效缺勤限額資料. </t>
    </r>
    <r>
      <rPr>
        <strike/>
        <sz val="10"/>
        <color rgb="FFFF0000"/>
        <rFont val="微軟正黑體"/>
        <family val="2"/>
        <charset val="136"/>
      </rPr>
      <t>上上月21-上月20身份異動(門市+商場現場--&gt;後勤, 調入超商)</t>
    </r>
    <r>
      <rPr>
        <sz val="10"/>
        <color rgb="FFFF0000"/>
        <rFont val="微軟正黑體"/>
        <family val="2"/>
        <charset val="136"/>
      </rPr>
      <t>, 需可選假別</t>
    </r>
    <r>
      <rPr>
        <sz val="10"/>
        <color theme="1"/>
        <rFont val="微軟正黑體"/>
        <family val="2"/>
        <charset val="136"/>
      </rPr>
      <t xml:space="preserve">
</t>
    </r>
    <r>
      <rPr>
        <strike/>
        <sz val="10"/>
        <color theme="1"/>
        <rFont val="微軟正黑體"/>
        <family val="2"/>
        <charset val="136"/>
      </rPr>
      <t>.上線時給超商, 非代休假的所有假別(所有有效+未來的)</t>
    </r>
    <phoneticPr fontId="1" type="noConversion"/>
  </si>
  <si>
    <t>固定字串rs_QUOTA+執行日YYYYMMDD.TXT</t>
    <phoneticPr fontId="2" type="noConversion"/>
  </si>
  <si>
    <t>rs_QUOTA20120701.TXT</t>
    <phoneticPr fontId="2" type="noConversion"/>
  </si>
  <si>
    <t>固定為rs_QUOTA</t>
    <phoneticPr fontId="2" type="noConversion"/>
  </si>
  <si>
    <t>QUOTA</t>
    <phoneticPr fontId="2" type="noConversion"/>
  </si>
  <si>
    <t>20100701</t>
    <phoneticPr fontId="2" type="noConversion"/>
  </si>
  <si>
    <t>版本日期</t>
    <phoneticPr fontId="2" type="noConversion"/>
  </si>
  <si>
    <t>結算日(YYYYMMDD)</t>
    <phoneticPr fontId="2" type="noConversion"/>
  </si>
  <si>
    <t>20100620</t>
    <phoneticPr fontId="2" type="noConversion"/>
  </si>
  <si>
    <t>rs_QUOTA201207012012062000000100</t>
    <phoneticPr fontId="2" type="noConversion"/>
  </si>
  <si>
    <t>00000001</t>
    <phoneticPr fontId="2" type="noConversion"/>
  </si>
  <si>
    <t>員工姓名</t>
    <phoneticPr fontId="2" type="noConversion"/>
  </si>
  <si>
    <t>王小明</t>
    <phoneticPr fontId="2" type="noConversion"/>
  </si>
  <si>
    <t>有效開始日</t>
    <phoneticPr fontId="2" type="noConversion"/>
  </si>
  <si>
    <t>假別有效起始日(含)(YYYYMMDD)</t>
    <phoneticPr fontId="2" type="noConversion"/>
  </si>
  <si>
    <t>有效結束日</t>
    <phoneticPr fontId="2" type="noConversion"/>
  </si>
  <si>
    <t>假別有效終止日(含)(YYYYMMDD)</t>
    <phoneticPr fontId="2" type="noConversion"/>
  </si>
  <si>
    <t>20100831</t>
    <phoneticPr fontId="2" type="noConversion"/>
  </si>
  <si>
    <t>假別UK</t>
    <phoneticPr fontId="1" type="noConversion"/>
  </si>
  <si>
    <t>UNIQUE KEY</t>
    <phoneticPr fontId="1" type="noConversion"/>
  </si>
  <si>
    <t>0000000001</t>
    <phoneticPr fontId="1" type="noConversion"/>
  </si>
  <si>
    <t>假別代碼</t>
    <phoneticPr fontId="2" type="noConversion"/>
  </si>
  <si>
    <t>00</t>
    <phoneticPr fontId="2" type="noConversion"/>
  </si>
  <si>
    <t>假別名稱</t>
    <phoneticPr fontId="2" type="noConversion"/>
  </si>
  <si>
    <t>特休假</t>
    <phoneticPr fontId="2" type="noConversion"/>
  </si>
  <si>
    <t>要提供全部的休假，包含：預留代休</t>
    <phoneticPr fontId="2" type="noConversion"/>
  </si>
  <si>
    <t>假別總時數</t>
    <phoneticPr fontId="2" type="noConversion"/>
  </si>
  <si>
    <t>阿拉伯數字(有小數點與兩位小數)</t>
    <phoneticPr fontId="2" type="noConversion"/>
  </si>
  <si>
    <t>200.00</t>
    <phoneticPr fontId="2" type="noConversion"/>
  </si>
  <si>
    <t>已使用時數</t>
    <phoneticPr fontId="2" type="noConversion"/>
  </si>
  <si>
    <t>120.00</t>
    <phoneticPr fontId="2" type="noConversion"/>
  </si>
  <si>
    <t>剩餘時數</t>
    <phoneticPr fontId="2" type="noConversion"/>
  </si>
  <si>
    <t>80.00</t>
    <phoneticPr fontId="2" type="noConversion"/>
  </si>
  <si>
    <t>00000001|王小明|20120701|20120831|0000000001|00|特休假|200.00|120.00|80.00</t>
    <phoneticPr fontId="2" type="noConversion"/>
  </si>
  <si>
    <t>員工</t>
    <phoneticPr fontId="1" type="noConversion"/>
  </si>
  <si>
    <t>假別</t>
    <phoneticPr fontId="1" type="noConversion"/>
  </si>
  <si>
    <t>起日~迄日</t>
    <phoneticPr fontId="1" type="noConversion"/>
  </si>
  <si>
    <t>QUOTA(天)</t>
    <phoneticPr fontId="1" type="noConversion"/>
  </si>
  <si>
    <t>已用</t>
    <phoneticPr fontId="1" type="noConversion"/>
  </si>
  <si>
    <t>A</t>
    <phoneticPr fontId="1" type="noConversion"/>
  </si>
  <si>
    <t>(流水號)</t>
    <phoneticPr fontId="1" type="noConversion"/>
  </si>
  <si>
    <t>特別假</t>
    <phoneticPr fontId="1" type="noConversion"/>
  </si>
  <si>
    <t>2017/12/1-2018/11/30</t>
    <phoneticPr fontId="1" type="noConversion"/>
  </si>
  <si>
    <t>Case 1:留停復職</t>
    <phoneticPr fontId="1" type="noConversion"/>
  </si>
  <si>
    <t>--&gt;</t>
    <phoneticPr fontId="1" type="noConversion"/>
  </si>
  <si>
    <t>計算年資到職日</t>
  </si>
  <si>
    <r>
      <t>2010/12/1--&gt;</t>
    </r>
    <r>
      <rPr>
        <sz val="10"/>
        <color rgb="FFFF0000"/>
        <rFont val="Arial Unicode MS"/>
        <family val="2"/>
        <charset val="136"/>
      </rPr>
      <t>2011/2/1</t>
    </r>
    <phoneticPr fontId="1" type="noConversion"/>
  </si>
  <si>
    <r>
      <t>2017/12/1</t>
    </r>
    <r>
      <rPr>
        <sz val="10"/>
        <color rgb="FFFF0000"/>
        <rFont val="Arial Unicode MS"/>
        <family val="2"/>
        <charset val="136"/>
      </rPr>
      <t>-2018/1/31</t>
    </r>
    <phoneticPr fontId="1" type="noConversion"/>
  </si>
  <si>
    <t>Case 2:增加認列年資</t>
    <phoneticPr fontId="1" type="noConversion"/>
  </si>
  <si>
    <t>2018/5/1-2018/6/30</t>
    <phoneticPr fontId="1" type="noConversion"/>
  </si>
  <si>
    <r>
      <t>2010/12/1--&gt;</t>
    </r>
    <r>
      <rPr>
        <sz val="10"/>
        <color rgb="FFFF0000"/>
        <rFont val="Arial Unicode MS"/>
        <family val="2"/>
        <charset val="136"/>
      </rPr>
      <t>2009/10/1</t>
    </r>
    <phoneticPr fontId="1" type="noConversion"/>
  </si>
  <si>
    <t>2017/10/1-2018/9/30</t>
    <phoneticPr fontId="1" type="noConversion"/>
  </si>
  <si>
    <t>Case 3:員工由後勤轉門市, 再由門市轉後勤</t>
    <phoneticPr fontId="1" type="noConversion"/>
  </si>
  <si>
    <t>在後勤考勤系統</t>
    <phoneticPr fontId="1" type="noConversion"/>
  </si>
  <si>
    <t>在門市考勤系統</t>
    <phoneticPr fontId="1" type="noConversion"/>
  </si>
  <si>
    <t>開帳時要全件, 其他要差份</t>
    <phoneticPr fontId="1" type="noConversion"/>
  </si>
  <si>
    <t>**門市&lt;----&gt;後勤, 因此異動(ACTION)有可能為事前或事後, 此時事前維護需生效時提供, 事後維護需隔日提供</t>
    <phoneticPr fontId="1" type="noConversion"/>
  </si>
  <si>
    <t>FT&lt;----&gt;PT</t>
    <phoneticPr fontId="1" type="noConversion"/>
  </si>
  <si>
    <t>會異動特別假, 其他的呢??</t>
    <phoneticPr fontId="1" type="noConversion"/>
  </si>
  <si>
    <t>復職</t>
    <phoneticPr fontId="1" type="noConversion"/>
  </si>
  <si>
    <t>調入(超商)者</t>
    <phoneticPr fontId="1" type="noConversion"/>
  </si>
  <si>
    <t>門市&lt;--&gt;後勤</t>
    <phoneticPr fontId="1" type="noConversion"/>
  </si>
  <si>
    <t>方案1:人工因應, 方案2:月初針對已確認資料傳送</t>
    <phoneticPr fontId="1" type="noConversion"/>
  </si>
  <si>
    <t>a</t>
    <phoneticPr fontId="2" type="noConversion"/>
  </si>
  <si>
    <t>日期</t>
    <phoneticPr fontId="2" type="noConversion"/>
  </si>
  <si>
    <t>可用</t>
    <phoneticPr fontId="2" type="noConversion"/>
  </si>
  <si>
    <t>已用</t>
    <phoneticPr fontId="2" type="noConversion"/>
  </si>
  <si>
    <t>未用</t>
    <phoneticPr fontId="2" type="noConversion"/>
  </si>
  <si>
    <t>sap</t>
    <phoneticPr fontId="2" type="noConversion"/>
  </si>
  <si>
    <t>上線時</t>
    <phoneticPr fontId="1" type="noConversion"/>
  </si>
  <si>
    <t>hcm</t>
    <phoneticPr fontId="1" type="noConversion"/>
  </si>
  <si>
    <t>超商</t>
    <phoneticPr fontId="1" type="noConversion"/>
  </si>
  <si>
    <t>固定字串rs_EMP_DIFF+執行日YYYYMMDD.TXT</t>
    <phoneticPr fontId="2" type="noConversion"/>
  </si>
  <si>
    <t>每日提供，裡面的資料只有與前一天在職員工主檔有異動的資料</t>
  </si>
  <si>
    <t>rs_EMP_DIFF20120712.TXT</t>
    <phoneticPr fontId="2" type="noConversion"/>
  </si>
  <si>
    <t>固定為rs_EMP_DIFF</t>
    <phoneticPr fontId="2" type="noConversion"/>
  </si>
  <si>
    <t>rs_EMP_DIFF2012071200000100</t>
    <phoneticPr fontId="2" type="noConversion"/>
  </si>
  <si>
    <t>12345678</t>
    <phoneticPr fontId="2" type="noConversion"/>
  </si>
  <si>
    <t>異動類型</t>
    <phoneticPr fontId="2" type="noConversion"/>
  </si>
  <si>
    <r>
      <rPr>
        <sz val="10"/>
        <color rgb="FF000000"/>
        <rFont val="微軟正黑體"/>
      </rPr>
      <t xml:space="preserve">以文字類型呈現
2位呈現前補0
</t>
    </r>
    <r>
      <rPr>
        <b/>
        <sz val="10"/>
        <color rgb="FFFF0000"/>
        <rFont val="微軟正黑體"/>
      </rPr>
      <t>01：PT--&gt;FT(含建教生)
02：FT(含建教生)--&gt;PT
06：調出超商
09：離職
10：留停
11：分類異動</t>
    </r>
  </si>
  <si>
    <t>目前僅1, 2, 6, 9, 10需精準日期</t>
    <phoneticPr fontId="2" type="noConversion"/>
  </si>
  <si>
    <t>異動生效日</t>
    <phoneticPr fontId="2" type="noConversion"/>
  </si>
  <si>
    <t>YYYYMMDD</t>
  </si>
  <si>
    <t>20120115</t>
    <phoneticPr fontId="2" type="noConversion"/>
  </si>
  <si>
    <t>0：數位大樓
1：商場現場
2：聯服
3：地區
4：門市
9：其他</t>
  </si>
  <si>
    <t>王小明|12345678|1|20120115</t>
    <phoneticPr fontId="2" type="noConversion"/>
  </si>
  <si>
    <t>utf16 little endian</t>
    <phoneticPr fontId="2" type="noConversion"/>
  </si>
  <si>
    <t>PT/FT身份轉換問題</t>
    <phoneticPr fontId="1" type="noConversion"/>
  </si>
  <si>
    <t>超商全部在職員工(不含 F兼職雇用終止員工， H派外員工， I正職終止員工， Y離職15年封存， Z歷史資料)</t>
    <phoneticPr fontId="1" type="noConversion"/>
  </si>
  <si>
    <t>固定字串rs_EMP_ACTIVE+執行日YYYYMMDD.TXT</t>
    <phoneticPr fontId="2" type="noConversion"/>
  </si>
  <si>
    <t>rs_EMP_ACTIVE20120710.TXT</t>
    <phoneticPr fontId="2" type="noConversion"/>
  </si>
  <si>
    <t>固定為rs_EMP_ACTIVE</t>
    <phoneticPr fontId="2" type="noConversion"/>
  </si>
  <si>
    <t>rs_EMP_ACTIVE2012072000000100</t>
    <phoneticPr fontId="2" type="noConversion"/>
  </si>
  <si>
    <t>長度</t>
    <phoneticPr fontId="1" type="noConversion"/>
  </si>
  <si>
    <t>所屬門市</t>
    <phoneticPr fontId="2" type="noConversion"/>
  </si>
  <si>
    <t>阿拉伯數字 ( 公司成本中心 )</t>
    <phoneticPr fontId="2" type="noConversion"/>
  </si>
  <si>
    <t>人員類別</t>
    <phoneticPr fontId="2" type="noConversion"/>
  </si>
  <si>
    <t>FT
PT</t>
    <phoneticPr fontId="2" type="noConversion"/>
  </si>
  <si>
    <t>FT</t>
    <phoneticPr fontId="2" type="noConversion"/>
  </si>
  <si>
    <t>員工群組(再加A45)</t>
    <phoneticPr fontId="1" type="noConversion"/>
  </si>
  <si>
    <t>職稱</t>
    <phoneticPr fontId="2" type="noConversion"/>
  </si>
  <si>
    <t>12345678資訊系統專員</t>
    <phoneticPr fontId="2" type="noConversion"/>
  </si>
  <si>
    <t>POSITION代號+名稱</t>
    <phoneticPr fontId="1" type="noConversion"/>
  </si>
  <si>
    <t>到職日</t>
    <phoneticPr fontId="2" type="noConversion"/>
  </si>
  <si>
    <t>YYYYMMDD</t>
    <phoneticPr fontId="2" type="noConversion"/>
  </si>
  <si>
    <t>離職日</t>
    <phoneticPr fontId="1" type="noConversion"/>
  </si>
  <si>
    <t>20120630</t>
    <phoneticPr fontId="2" type="noConversion"/>
  </si>
  <si>
    <t>(在職為：99991231)</t>
    <phoneticPr fontId="1" type="noConversion"/>
  </si>
  <si>
    <t>性別</t>
    <phoneticPr fontId="2" type="noConversion"/>
  </si>
  <si>
    <t>M：男
F：女</t>
    <phoneticPr fontId="2" type="noConversion"/>
  </si>
  <si>
    <t>M</t>
    <phoneticPr fontId="2" type="noConversion"/>
  </si>
  <si>
    <t>(ID)</t>
    <phoneticPr fontId="1" type="noConversion"/>
  </si>
  <si>
    <t>身份證號 OR 居留證</t>
    <phoneticPr fontId="1" type="noConversion"/>
  </si>
  <si>
    <t>A123456789</t>
    <phoneticPr fontId="1" type="noConversion"/>
  </si>
  <si>
    <t>ID類別</t>
    <phoneticPr fontId="1" type="noConversion"/>
  </si>
  <si>
    <t>01 台灣 ID, 02 外國人居留, 03 護照</t>
    <phoneticPr fontId="1" type="noConversion"/>
  </si>
  <si>
    <t>01</t>
    <phoneticPr fontId="2" type="noConversion"/>
  </si>
  <si>
    <t>到職/復職/調入日</t>
    <phoneticPr fontId="2" type="noConversion"/>
  </si>
  <si>
    <r>
      <t>最新一筆的離職復職/復職/調入日(未異動人員為：</t>
    </r>
    <r>
      <rPr>
        <sz val="10"/>
        <color rgb="FFFF0000"/>
        <rFont val="微軟正黑體"/>
        <family val="2"/>
        <charset val="136"/>
      </rPr>
      <t>00000000</t>
    </r>
    <r>
      <rPr>
        <sz val="10"/>
        <rFont val="微軟正黑體"/>
        <family val="2"/>
        <charset val="136"/>
      </rPr>
      <t>)</t>
    </r>
    <phoneticPr fontId="1" type="noConversion"/>
  </si>
  <si>
    <t>異動日</t>
    <phoneticPr fontId="2" type="noConversion"/>
  </si>
  <si>
    <t>最新一筆的離職/留停/調任日(含過去及未來)(未異動人員為：00000000)</t>
    <phoneticPr fontId="1" type="noConversion"/>
  </si>
  <si>
    <t>職稱代號</t>
    <phoneticPr fontId="2" type="noConversion"/>
  </si>
  <si>
    <t>12345678</t>
    <phoneticPr fontId="1" type="noConversion"/>
  </si>
  <si>
    <t>POSITION代號</t>
    <phoneticPr fontId="1" type="noConversion"/>
  </si>
  <si>
    <t>判斷地區(ZONE)</t>
    <phoneticPr fontId="1" type="noConversion"/>
  </si>
  <si>
    <t>2002</t>
    <phoneticPr fontId="1" type="noConversion"/>
  </si>
  <si>
    <t>是否為外勤</t>
    <phoneticPr fontId="1" type="noConversion"/>
  </si>
  <si>
    <t>Y/N</t>
    <phoneticPr fontId="1" type="noConversion"/>
  </si>
  <si>
    <t>N</t>
    <phoneticPr fontId="1" type="noConversion"/>
  </si>
  <si>
    <t>在sap上由user維護外勤人員的job list(公司別, JOB ID). JOB為跨公司共用</t>
    <phoneticPr fontId="1" type="noConversion"/>
  </si>
  <si>
    <t>計算年資到職日</t>
    <phoneticPr fontId="1" type="noConversion"/>
  </si>
  <si>
    <t>E-MAIL</t>
    <phoneticPr fontId="1" type="noConversion"/>
  </si>
  <si>
    <t>test@mail.com</t>
    <phoneticPr fontId="1" type="noConversion"/>
  </si>
  <si>
    <t>聯服部門=00000021, 地區, 門市:人事子範圍, 商場:員工子群組為門市員工+job code:131、133、134、135</t>
    <phoneticPr fontId="1" type="noConversion"/>
  </si>
  <si>
    <t>jobCode</t>
    <phoneticPr fontId="1" type="noConversion"/>
  </si>
  <si>
    <t>考勤區間上月21-本月20</t>
    <phoneticPr fontId="1" type="noConversion"/>
  </si>
  <si>
    <t>only PT的正常出勤時數</t>
    <phoneticPr fontId="1" type="noConversion"/>
  </si>
  <si>
    <t>固定字串rs_PTTOT+執行日YYYYMMDD.TXT</t>
    <phoneticPr fontId="2" type="noConversion"/>
  </si>
  <si>
    <t>rs_PTTOT20120712.TXT</t>
    <phoneticPr fontId="2" type="noConversion"/>
  </si>
  <si>
    <t>檔案欄位：</t>
    <phoneticPr fontId="1" type="noConversion"/>
  </si>
  <si>
    <t>檔案名稱</t>
    <phoneticPr fontId="1" type="noConversion"/>
  </si>
  <si>
    <t>女火</t>
    <phoneticPr fontId="2" type="noConversion"/>
  </si>
  <si>
    <t>入考勤日期</t>
  </si>
  <si>
    <t>正常出勤時數</t>
    <phoneticPr fontId="2" type="noConversion"/>
  </si>
  <si>
    <t>工資類型</t>
    <phoneticPr fontId="1" type="noConversion"/>
  </si>
  <si>
    <t>長度</t>
  </si>
  <si>
    <t>格式</t>
  </si>
  <si>
    <t>數值</t>
  </si>
  <si>
    <t>PT範例</t>
  </si>
  <si>
    <t>00006002</t>
  </si>
  <si>
    <t>說明</t>
  </si>
  <si>
    <t>本月考勤截止日/員工當月離職日(留停OR調出)前一天/員工身份轉換(FP/PT)前一天</t>
    <phoneticPr fontId="1" type="noConversion"/>
  </si>
  <si>
    <r>
      <t>只有PT有時數</t>
    </r>
    <r>
      <rPr>
        <sz val="12"/>
        <color rgb="FFC00000"/>
        <rFont val="微軟正黑體"/>
        <family val="2"/>
        <charset val="136"/>
      </rPr>
      <t>(扣除國定假日前8小時出勤時數)</t>
    </r>
    <phoneticPr fontId="1" type="noConversion"/>
  </si>
  <si>
    <t>考勤總額時數：為當月之總合，故一位員工僅有一筆記錄。</t>
  </si>
  <si>
    <t>入檔格式：無表頭，且以”Tab”分隔的TXT檔。</t>
  </si>
  <si>
    <t>考勤月份若發生PT--&gt;FT, 此員工1筆資料, 考勤日為轉FT日-1</t>
    <phoneticPr fontId="2" type="noConversion"/>
  </si>
  <si>
    <t>考勤月份若發生FT--&gt;PT, 此員工1筆資料, 考勤日為考勤截止日</t>
    <phoneticPr fontId="2" type="noConversion"/>
  </si>
  <si>
    <t>*若有補刷卡動作</t>
    <phoneticPr fontId="1" type="noConversion"/>
  </si>
  <si>
    <t>20120220</t>
    <phoneticPr fontId="1" type="noConversion"/>
  </si>
  <si>
    <t>8</t>
    <phoneticPr fontId="1" type="noConversion"/>
  </si>
  <si>
    <t>只給補的時數</t>
    <phoneticPr fontId="1" type="noConversion"/>
  </si>
  <si>
    <t>固定字串rs_OVER+執行日YYYYMMDD.TXT</t>
    <phoneticPr fontId="2" type="noConversion"/>
  </si>
  <si>
    <t>rs_OVER20120712.TXT</t>
    <phoneticPr fontId="2" type="noConversion"/>
  </si>
  <si>
    <t>認列考勤日</t>
  </si>
  <si>
    <t>截止日</t>
  </si>
  <si>
    <t>加班代號/代休代號</t>
    <phoneticPr fontId="1" type="noConversion"/>
  </si>
  <si>
    <t>1轉$/2轉假</t>
    <phoneticPr fontId="1" type="noConversion"/>
  </si>
  <si>
    <t>時數</t>
  </si>
  <si>
    <t>考勤日別</t>
  </si>
  <si>
    <t>取消flag</t>
    <phoneticPr fontId="1" type="noConversion"/>
  </si>
  <si>
    <t>後勤/門市</t>
    <phoneticPr fontId="1" type="noConversion"/>
  </si>
  <si>
    <t>平常日/例假日/休息日/國定假日</t>
    <phoneticPr fontId="1" type="noConversion"/>
  </si>
  <si>
    <t>需要嗎?</t>
    <phoneticPr fontId="1" type="noConversion"/>
  </si>
  <si>
    <t>週年制, 員工2018/3/8平常上班日跨日加班至2018/3/9, 共7小時(超時, 轉薪). 此員工計算年資到職日為2010/4/1</t>
    <phoneticPr fontId="1" type="noConversion"/>
  </si>
  <si>
    <t>00000005</t>
    <phoneticPr fontId="1" type="noConversion"/>
  </si>
  <si>
    <t>=認列考勤日</t>
    <phoneticPr fontId="1" type="noConversion"/>
  </si>
  <si>
    <t>平常日</t>
    <phoneticPr fontId="1" type="noConversion"/>
  </si>
  <si>
    <t>歷年制, 員工2018/2/28國定假日加班6小時(轉假), 此員工計算年資到職日為2010/4/1</t>
    <phoneticPr fontId="1" type="noConversion"/>
  </si>
  <si>
    <t>00000006</t>
    <phoneticPr fontId="1" type="noConversion"/>
  </si>
  <si>
    <t>國定假日</t>
    <phoneticPr fontId="1" type="noConversion"/>
  </si>
  <si>
    <t>同SAMPLE 2轉薪</t>
    <phoneticPr fontId="1" type="noConversion"/>
  </si>
  <si>
    <t>1473-1482後勤不使用。(1480-1482超商門市PT用)</t>
    <phoneticPr fontId="1" type="noConversion"/>
  </si>
  <si>
    <t>PK:員工編號+認列考勤日+代號+取消flag(若同月資料的取消, 可皆不提供, 若有提供請排序)</t>
    <phoneticPr fontId="1" type="noConversion"/>
  </si>
  <si>
    <t>*以加班起日為認列日</t>
    <phoneticPr fontId="1" type="noConversion"/>
  </si>
  <si>
    <t>*不同加班費倍率拆分資料</t>
    <phoneticPr fontId="1" type="noConversion"/>
  </si>
  <si>
    <t>*國定假日加班不足8小時, 轉薪時需認8小時, 不足部份請假. 轉假以實計加班工時認列</t>
    <phoneticPr fontId="1" type="noConversion"/>
  </si>
  <si>
    <t>*PT國定假日加班依實際工時轉薪, 不需請假, 不可轉假</t>
    <phoneticPr fontId="1" type="noConversion"/>
  </si>
  <si>
    <t>已取消"改簽"功能, 無法取消加班申請</t>
    <phoneticPr fontId="1" type="noConversion"/>
  </si>
  <si>
    <t>固定字串rs_LEAVE+執行日YYYYMMDD.TXT</t>
    <phoneticPr fontId="2" type="noConversion"/>
  </si>
  <si>
    <t>rs_LEAVE20120712.TXT</t>
    <phoneticPr fontId="2" type="noConversion"/>
  </si>
  <si>
    <t>員工代號</t>
  </si>
  <si>
    <t>請假類型</t>
  </si>
  <si>
    <t>請假開始日期</t>
  </si>
  <si>
    <t>請假結束日期</t>
  </si>
  <si>
    <t>請假開始時間</t>
  </si>
  <si>
    <t>請假結束時間</t>
  </si>
  <si>
    <t>請假時數(遲到時以分鐘計)</t>
    <phoneticPr fontId="1" type="noConversion"/>
  </si>
  <si>
    <t>銷假單號/請假單號</t>
    <phoneticPr fontId="1" type="noConversion"/>
  </si>
  <si>
    <t>文字</t>
  </si>
  <si>
    <t>不需寫入sap</t>
    <phoneticPr fontId="1" type="noConversion"/>
  </si>
  <si>
    <t>FT範例</t>
  </si>
  <si>
    <t>09:00</t>
    <phoneticPr fontId="1" type="noConversion"/>
  </si>
  <si>
    <t>11:30</t>
    <phoneticPr fontId="1" type="noConversion"/>
  </si>
  <si>
    <t>10004618</t>
    <phoneticPr fontId="1" type="noConversion"/>
  </si>
  <si>
    <t>20120319</t>
    <phoneticPr fontId="1" type="noConversion"/>
  </si>
  <si>
    <t>23:00</t>
    <phoneticPr fontId="1" type="noConversion"/>
  </si>
  <si>
    <t>24:00</t>
    <phoneticPr fontId="1" type="noConversion"/>
  </si>
  <si>
    <t>1</t>
    <phoneticPr fontId="1" type="noConversion"/>
  </si>
  <si>
    <t>00:00</t>
    <phoneticPr fontId="1" type="noConversion"/>
  </si>
  <si>
    <t>07:00</t>
    <phoneticPr fontId="1" type="noConversion"/>
  </si>
  <si>
    <t>7</t>
    <phoneticPr fontId="1" type="noConversion"/>
  </si>
  <si>
    <t>遲到</t>
    <phoneticPr fontId="1" type="noConversion"/>
  </si>
  <si>
    <t>10004619</t>
    <phoneticPr fontId="1" type="noConversion"/>
  </si>
  <si>
    <t>08:00</t>
    <phoneticPr fontId="1" type="noConversion"/>
  </si>
  <si>
    <t>08:05</t>
    <phoneticPr fontId="1" type="noConversion"/>
  </si>
  <si>
    <t>5</t>
    <phoneticPr fontId="1" type="noConversion"/>
  </si>
  <si>
    <t>曠職</t>
    <phoneticPr fontId="1" type="noConversion"/>
  </si>
  <si>
    <t>24</t>
    <phoneticPr fontId="1" type="noConversion"/>
  </si>
  <si>
    <t>20120318</t>
    <phoneticPr fontId="1" type="noConversion"/>
  </si>
  <si>
    <t>08:30</t>
    <phoneticPr fontId="1" type="noConversion"/>
  </si>
  <si>
    <t>0.5</t>
    <phoneticPr fontId="1" type="noConversion"/>
  </si>
  <si>
    <t>SAP 編號</t>
    <phoneticPr fontId="1" type="noConversion"/>
  </si>
  <si>
    <t>請假開始日期</t>
    <phoneticPr fontId="1" type="noConversion"/>
  </si>
  <si>
    <t>請假結束日期</t>
    <phoneticPr fontId="1" type="noConversion"/>
  </si>
  <si>
    <t>請假開始時間</t>
    <phoneticPr fontId="1" type="noConversion"/>
  </si>
  <si>
    <t>請假結束時間</t>
    <phoneticPr fontId="1" type="noConversion"/>
  </si>
  <si>
    <t>0點時為00:00</t>
    <phoneticPr fontId="1" type="noConversion"/>
  </si>
  <si>
    <t>0點時為24:00</t>
    <phoneticPr fontId="1" type="noConversion"/>
  </si>
  <si>
    <t>2018/11/5</t>
    <phoneticPr fontId="1" type="noConversion"/>
  </si>
  <si>
    <t>當月銷假時, 不傳SAP(請假及銷假皆不傳)</t>
    <phoneticPr fontId="1" type="noConversion"/>
  </si>
  <si>
    <t>跨月銷假時, 銷假會傳SAP</t>
    <phoneticPr fontId="1" type="noConversion"/>
  </si>
  <si>
    <t>ORDER BY</t>
    <phoneticPr fontId="1" type="noConversion"/>
  </si>
  <si>
    <t>取消FLAG(先Y再N), 員工代號, 請假類型, 請假開始日期, 請假開始時間</t>
    <phoneticPr fontId="1" type="noConversion"/>
  </si>
  <si>
    <t>pdf檔解密--&gt;txt檔解密(r3是txt檔, 到portal轉成pdf)</t>
    <phoneticPr fontId="1" type="noConversion"/>
  </si>
  <si>
    <t>做測試資料並提供測試</t>
    <phoneticPr fontId="1" type="noConversion"/>
  </si>
  <si>
    <t>*命名原則</t>
    <phoneticPr fontId="1" type="noConversion"/>
  </si>
  <si>
    <r>
      <t>以下</t>
    </r>
    <r>
      <rPr>
        <sz val="12"/>
        <color rgb="FFFF0000"/>
        <rFont val="新細明體"/>
        <family val="1"/>
        <charset val="136"/>
      </rPr>
      <t>紅字</t>
    </r>
    <r>
      <rPr>
        <sz val="12"/>
        <color rgb="FFFF0000"/>
        <rFont val="Calibri"/>
        <family val="2"/>
      </rPr>
      <t>S</t>
    </r>
    <r>
      <rPr>
        <sz val="12"/>
        <color rgb="FF1F497D"/>
        <rFont val="新細明體"/>
        <family val="1"/>
        <charset val="136"/>
      </rPr>
      <t>表示月薪</t>
    </r>
    <r>
      <rPr>
        <sz val="12"/>
        <color rgb="FF1F497D"/>
        <rFont val="Calibri"/>
        <family val="2"/>
      </rPr>
      <t xml:space="preserve">, </t>
    </r>
    <r>
      <rPr>
        <sz val="12"/>
        <color rgb="FF1F497D"/>
        <rFont val="新細明體"/>
        <family val="1"/>
        <charset val="136"/>
      </rPr>
      <t>若改為</t>
    </r>
    <r>
      <rPr>
        <sz val="12"/>
        <color rgb="FF1F497D"/>
        <rFont val="Calibri"/>
        <family val="2"/>
      </rPr>
      <t>A</t>
    </r>
    <r>
      <rPr>
        <sz val="12"/>
        <color rgb="FF1F497D"/>
        <rFont val="新細明體"/>
        <family val="1"/>
        <charset val="136"/>
      </rPr>
      <t>表示奬金</t>
    </r>
    <r>
      <rPr>
        <sz val="12"/>
        <color rgb="FF1F497D"/>
        <rFont val="Calibri"/>
        <family val="2"/>
      </rPr>
      <t>(yyyymmdd</t>
    </r>
    <r>
      <rPr>
        <sz val="12"/>
        <color rgb="FF1F497D"/>
        <rFont val="新細明體"/>
        <family val="1"/>
        <charset val="136"/>
      </rPr>
      <t>為執行日</t>
    </r>
    <r>
      <rPr>
        <sz val="12"/>
        <color rgb="FF1F497D"/>
        <rFont val="Calibri"/>
        <family val="2"/>
      </rPr>
      <t>)</t>
    </r>
    <phoneticPr fontId="1" type="noConversion"/>
  </si>
  <si>
    <r>
      <t>PAYP_</t>
    </r>
    <r>
      <rPr>
        <sz val="12"/>
        <color rgb="FFFF0000"/>
        <rFont val="Calibri"/>
        <family val="2"/>
      </rPr>
      <t>S</t>
    </r>
    <r>
      <rPr>
        <sz val="12"/>
        <color rgb="FF002060"/>
        <rFont val="Calibri"/>
        <family val="2"/>
      </rPr>
      <t>yyyymmdd.tar</t>
    </r>
    <phoneticPr fontId="1" type="noConversion"/>
  </si>
  <si>
    <r>
      <t>PAYP_</t>
    </r>
    <r>
      <rPr>
        <sz val="12"/>
        <color rgb="FFFF0000"/>
        <rFont val="Calibri"/>
        <family val="2"/>
      </rPr>
      <t>S</t>
    </r>
    <r>
      <rPr>
        <sz val="12"/>
        <color rgb="FF002060"/>
        <rFont val="Calibri"/>
        <family val="2"/>
      </rPr>
      <t>yyyymmdd.tar.FILEOK</t>
    </r>
    <phoneticPr fontId="1" type="noConversion"/>
  </si>
  <si>
    <r>
      <t>Tar</t>
    </r>
    <r>
      <rPr>
        <sz val="12"/>
        <color rgb="FF002060"/>
        <rFont val="新細明體"/>
        <family val="1"/>
        <charset val="136"/>
      </rPr>
      <t>內的檔案為多個員工的薪資檔案</t>
    </r>
    <r>
      <rPr>
        <sz val="12"/>
        <color rgb="FF002060"/>
        <rFont val="Calibri"/>
        <family val="2"/>
      </rPr>
      <t xml:space="preserve">, </t>
    </r>
    <r>
      <rPr>
        <sz val="12"/>
        <color rgb="FF002060"/>
        <rFont val="新細明體"/>
        <family val="1"/>
        <charset val="136"/>
      </rPr>
      <t>檔名如下</t>
    </r>
    <r>
      <rPr>
        <sz val="12"/>
        <color rgb="FF002060"/>
        <rFont val="Calibri"/>
        <family val="2"/>
      </rPr>
      <t>(yyyymmdd</t>
    </r>
    <r>
      <rPr>
        <sz val="12"/>
        <color rgb="FF002060"/>
        <rFont val="新細明體"/>
        <family val="1"/>
        <charset val="136"/>
      </rPr>
      <t>為發薪或發獎金日</t>
    </r>
    <r>
      <rPr>
        <sz val="12"/>
        <color rgb="FF002060"/>
        <rFont val="Calibri"/>
        <family val="2"/>
      </rPr>
      <t>)</t>
    </r>
    <phoneticPr fontId="1" type="noConversion"/>
  </si>
  <si>
    <r>
      <t>PAYP_</t>
    </r>
    <r>
      <rPr>
        <sz val="12"/>
        <color rgb="FFFF0000"/>
        <rFont val="Calibri"/>
        <family val="2"/>
      </rPr>
      <t>S</t>
    </r>
    <r>
      <rPr>
        <sz val="12"/>
        <color rgb="FF002060"/>
        <rFont val="Calibri"/>
        <family val="2"/>
      </rPr>
      <t>_P</t>
    </r>
    <r>
      <rPr>
        <sz val="12"/>
        <color rgb="FF002060"/>
        <rFont val="新細明體"/>
        <family val="1"/>
        <charset val="136"/>
      </rPr>
      <t>員工編號</t>
    </r>
    <r>
      <rPr>
        <sz val="12"/>
        <color rgb="FF002060"/>
        <rFont val="Calibri"/>
        <family val="2"/>
      </rPr>
      <t>_yyyymmdd.txt</t>
    </r>
    <phoneticPr fontId="1" type="noConversion"/>
  </si>
  <si>
    <t>系統</t>
    <phoneticPr fontId="1" type="noConversion"/>
  </si>
  <si>
    <t>說明</t>
    <phoneticPr fontId="1" type="noConversion"/>
  </si>
  <si>
    <t>平測時</t>
    <phoneticPr fontId="1" type="noConversion"/>
  </si>
  <si>
    <t>上線</t>
    <phoneticPr fontId="1" type="noConversion"/>
  </si>
  <si>
    <t>ESS</t>
    <phoneticPr fontId="1" type="noConversion"/>
  </si>
  <si>
    <t>權限</t>
    <phoneticPr fontId="1" type="noConversion"/>
  </si>
  <si>
    <t>超商ESS請假功能權限取消(無法再查之前請過的假單)</t>
    <phoneticPr fontId="1" type="noConversion"/>
  </si>
  <si>
    <t>改成權限同門市人員(可查限額, 請過的假, 薪資)</t>
    <phoneticPr fontId="1" type="noConversion"/>
  </si>
  <si>
    <t>平測時不用改</t>
  </si>
  <si>
    <t>10/30 13:30進行. H排除(維持現況)</t>
    <phoneticPr fontId="1" type="noConversion"/>
  </si>
  <si>
    <t>SAP HR</t>
    <phoneticPr fontId="1" type="noConversion"/>
  </si>
  <si>
    <t>quota</t>
    <phoneticPr fontId="1" type="noConversion"/>
  </si>
  <si>
    <t>開帳資料取得
1. 有效的加班轉代休的剩餘時數的加班記錄(明細)
2. 超商, 非代休假的所有假別(所有有效+未來的)
3. 特別假處理(婚假. 喪假只請了部份, 產假等1次性請假的不處理)
4. 非未來假未完成簽核者或因薪資計算未寫入sap hr的(還在ess上). 已紙本申請quota(尚未請假者)不需處理, 依宣導操作即可</t>
    <phoneticPr fontId="1" type="noConversion"/>
  </si>
  <si>
    <t>平測時第2點可不做</t>
  </si>
  <si>
    <t>事前通知10/30暫停請假功能, 暫停人資同人新增特別假quota.--&gt;同年底處理方式, 人資同仁協助處理簽核中的, 由SAP HR寫入
10/30-10/31於顧問處理完權限時取相關資料處理</t>
    <phoneticPr fontId="1" type="noConversion"/>
  </si>
  <si>
    <t>班表</t>
    <phoneticPr fontId="1" type="noConversion"/>
  </si>
  <si>
    <r>
      <t>調班表(it 2003)及sap上班表處理</t>
    </r>
    <r>
      <rPr>
        <sz val="12"/>
        <color rgb="FFFF0000"/>
        <rFont val="新細明體"/>
        <family val="1"/>
        <charset val="136"/>
        <scheme val="minor"/>
      </rPr>
      <t>(24小時的班, 只剩國定假日)</t>
    </r>
    <phoneticPr fontId="1" type="noConversion"/>
  </si>
  <si>
    <r>
      <t xml:space="preserve">10/30上午USER取得班表資料在後勤考勤輸入
</t>
    </r>
    <r>
      <rPr>
        <sz val="12"/>
        <color rgb="FFFF0000"/>
        <rFont val="新細明體"/>
        <family val="1"/>
        <charset val="136"/>
        <scheme val="minor"/>
      </rPr>
      <t>於考勤第1次轉入前(但不能是計薪期間)</t>
    </r>
    <r>
      <rPr>
        <sz val="12"/>
        <color theme="1"/>
        <rFont val="新細明體"/>
        <family val="2"/>
        <charset val="136"/>
        <scheme val="minor"/>
      </rPr>
      <t xml:space="preserve">顧問針對班表處理(H排除, 維持現況)
</t>
    </r>
    <r>
      <rPr>
        <strike/>
        <sz val="12"/>
        <color theme="1"/>
        <rFont val="新細明體"/>
        <family val="1"/>
        <charset val="136"/>
        <scheme val="minor"/>
      </rPr>
      <t>匯入時若遇國定假日請假時數會變成0, 請顧問增加異常LOG處理, 人工將員工班表改為非國定假日, 再匯入)</t>
    </r>
    <phoneticPr fontId="1" type="noConversion"/>
  </si>
  <si>
    <t>未來假查詢功能(for 門市--&gt;後勤, 商場現場--&gt;後勤. 調入超商)</t>
    <phoneticPr fontId="1" type="noConversion"/>
  </si>
  <si>
    <t>不用(現行有功能:query)</t>
  </si>
  <si>
    <t>job</t>
    <phoneticPr fontId="1" type="noConversion"/>
  </si>
  <si>
    <r>
      <t>考勤(後勤/中壢/內湖)job時間, 區顧問/區經理考勤維持收檔</t>
    </r>
    <r>
      <rPr>
        <strike/>
        <sz val="12"/>
        <color theme="1"/>
        <rFont val="新細明體"/>
        <family val="1"/>
        <charset val="136"/>
        <scheme val="minor"/>
      </rPr>
      <t>, 與pos相關介面一併清查(門市考勤)</t>
    </r>
    <phoneticPr fontId="1" type="noConversion"/>
  </si>
  <si>
    <t>平測時不用</t>
  </si>
  <si>
    <t>11/1停收考勤(後勤/中壢/內湖)</t>
    <phoneticPr fontId="1" type="noConversion"/>
  </si>
  <si>
    <t>當月(週/月)的異常信處理</t>
    <phoneticPr fontId="1" type="noConversion"/>
  </si>
  <si>
    <t>平測時不用停</t>
  </si>
  <si>
    <r>
      <t>11/6(週):10/29-10/31</t>
    </r>
    <r>
      <rPr>
        <sz val="12"/>
        <color rgb="FFFF0000"/>
        <rFont val="新細明體"/>
        <family val="1"/>
        <charset val="136"/>
        <scheme val="minor"/>
      </rPr>
      <t>(刪)</t>
    </r>
    <r>
      <rPr>
        <sz val="12"/>
        <color theme="1"/>
        <rFont val="新細明體"/>
        <family val="2"/>
        <charset val="136"/>
        <scheme val="minor"/>
      </rPr>
      <t xml:space="preserve">
11/5(月):9/21-10/20</t>
    </r>
    <r>
      <rPr>
        <sz val="12"/>
        <color rgb="FFFF0000"/>
        <rFont val="新細明體"/>
        <family val="1"/>
        <charset val="136"/>
        <scheme val="minor"/>
      </rPr>
      <t>--&gt;9/21-10/31</t>
    </r>
    <r>
      <rPr>
        <sz val="12"/>
        <color theme="1"/>
        <rFont val="新細明體"/>
        <family val="2"/>
        <charset val="136"/>
        <scheme val="minor"/>
      </rPr>
      <t xml:space="preserve">
12/5(月):10/21-10/31</t>
    </r>
    <r>
      <rPr>
        <sz val="12"/>
        <color rgb="FFFF0000"/>
        <rFont val="新細明體"/>
        <family val="1"/>
        <charset val="136"/>
        <scheme val="minor"/>
      </rPr>
      <t>(刪)
即10/31可停週異常信, 11/6可停月異常信</t>
    </r>
    <phoneticPr fontId="1" type="noConversion"/>
  </si>
  <si>
    <t>營企所需區顧問/區經理門市刷卡記錄(需看到各門市的進出時間), 保留在SAP查看. 但此資料不需寫入IT</t>
    <phoneticPr fontId="1" type="noConversion"/>
  </si>
  <si>
    <t>不用, 此功能改用門市考勤</t>
    <phoneticPr fontId="1" type="noConversion"/>
  </si>
  <si>
    <t>業務</t>
    <phoneticPr fontId="1" type="noConversion"/>
  </si>
  <si>
    <t>部份假別修改不需quota因應機制</t>
    <phoneticPr fontId="1" type="noConversion"/>
  </si>
  <si>
    <t>平測時不用至SAP HR新增(依原業務流程:紙本到時新增)</t>
  </si>
  <si>
    <t>缺勤限額11/3再傳全件一次</t>
    <phoneticPr fontId="1" type="noConversion"/>
  </si>
  <si>
    <t>比照年底處理方式, 由人資同仁將未簽完的假通知顧問刪除, 再由sap hr建入資料(需通知相關主管)</t>
    <phoneticPr fontId="1" type="noConversion"/>
  </si>
  <si>
    <r>
      <t xml:space="preserve">超商, </t>
    </r>
    <r>
      <rPr>
        <sz val="12"/>
        <color rgb="FFFF0000"/>
        <rFont val="微軟正黑體"/>
        <family val="2"/>
        <charset val="136"/>
      </rPr>
      <t>同人可多筆(不同期間, 含未來生效)</t>
    </r>
    <phoneticPr fontId="1" type="noConversion"/>
  </si>
  <si>
    <r>
      <t>固定字串</t>
    </r>
    <r>
      <rPr>
        <sz val="10"/>
        <color rgb="FFFF0000"/>
        <rFont val="Arial Unicode MS"/>
        <family val="2"/>
        <charset val="136"/>
      </rPr>
      <t>rs_BEQUOTA</t>
    </r>
    <r>
      <rPr>
        <sz val="10"/>
        <rFont val="Arial Unicode MS"/>
        <family val="2"/>
        <charset val="136"/>
      </rPr>
      <t>+執行日YYYYMMDD.TXT</t>
    </r>
    <phoneticPr fontId="2" type="noConversion"/>
  </si>
  <si>
    <r>
      <rPr>
        <sz val="10"/>
        <color rgb="FFFF0000"/>
        <rFont val="Arial Unicode MS"/>
        <family val="2"/>
        <charset val="136"/>
      </rPr>
      <t>rs_BEQUOTA</t>
    </r>
    <r>
      <rPr>
        <sz val="10"/>
        <rFont val="Arial Unicode MS"/>
        <family val="2"/>
        <charset val="136"/>
      </rPr>
      <t>20120701.TXT</t>
    </r>
    <phoneticPr fontId="2" type="noConversion"/>
  </si>
  <si>
    <t>固定為rs_BEQUOTA</t>
    <phoneticPr fontId="2" type="noConversion"/>
  </si>
  <si>
    <t>福利類型</t>
    <phoneticPr fontId="2" type="noConversion"/>
  </si>
  <si>
    <t>1.自選式福利 2….</t>
    <phoneticPr fontId="2" type="noConversion"/>
  </si>
  <si>
    <t>1</t>
    <phoneticPr fontId="2" type="noConversion"/>
  </si>
  <si>
    <t>可申請次數</t>
    <phoneticPr fontId="2" type="noConversion"/>
  </si>
  <si>
    <t>1.1次, 999.不限次數</t>
    <phoneticPr fontId="2" type="noConversion"/>
  </si>
  <si>
    <t>999</t>
    <phoneticPr fontId="2" type="noConversion"/>
  </si>
  <si>
    <t>總金額</t>
    <phoneticPr fontId="2" type="noConversion"/>
  </si>
  <si>
    <t>20000</t>
    <phoneticPr fontId="2" type="noConversion"/>
  </si>
  <si>
    <t>已申請金額</t>
    <phoneticPr fontId="2" type="noConversion"/>
  </si>
  <si>
    <t>15000</t>
    <phoneticPr fontId="2" type="noConversion"/>
  </si>
  <si>
    <t>剩餘金額</t>
    <phoneticPr fontId="2" type="noConversion"/>
  </si>
  <si>
    <t>5000</t>
    <phoneticPr fontId="2" type="noConversion"/>
  </si>
  <si>
    <r>
      <t>固定字串</t>
    </r>
    <r>
      <rPr>
        <sz val="10"/>
        <color rgb="FFFF0000"/>
        <rFont val="Arial Unicode MS"/>
        <family val="2"/>
        <charset val="136"/>
      </rPr>
      <t>rs_BEREQUEST</t>
    </r>
    <r>
      <rPr>
        <sz val="10"/>
        <rFont val="Arial Unicode MS"/>
        <family val="2"/>
        <charset val="136"/>
      </rPr>
      <t>+執行日YYYYMMDD.TXT</t>
    </r>
    <phoneticPr fontId="2" type="noConversion"/>
  </si>
  <si>
    <t>HEADER</t>
    <phoneticPr fontId="1" type="noConversion"/>
  </si>
  <si>
    <t>福利類型</t>
    <phoneticPr fontId="1" type="noConversion"/>
  </si>
  <si>
    <t>申請日</t>
    <phoneticPr fontId="1" type="noConversion"/>
  </si>
  <si>
    <t>核准日</t>
    <phoneticPr fontId="1" type="noConversion"/>
  </si>
  <si>
    <t>計劃</t>
    <phoneticPr fontId="1" type="noConversion"/>
  </si>
  <si>
    <t>金額(整數)</t>
    <phoneticPr fontId="1" type="noConversion"/>
  </si>
  <si>
    <t>文字</t>
    <phoneticPr fontId="1" type="noConversion"/>
  </si>
  <si>
    <t>20120320</t>
    <phoneticPr fontId="1" type="noConversion"/>
  </si>
  <si>
    <t>無申請取消, 同單申請, 同會科合計金額</t>
    <phoneticPr fontId="1" type="noConversion"/>
  </si>
  <si>
    <r>
      <t>福利類型1(自選式福利)計劃</t>
    </r>
    <r>
      <rPr>
        <sz val="11"/>
        <color rgb="FFFF0000"/>
        <rFont val="Calibri"/>
        <family val="2"/>
      </rPr>
      <t xml:space="preserve">  </t>
    </r>
    <r>
      <rPr>
        <sz val="11"/>
        <color rgb="FFFF0000"/>
        <rFont val="新細明體"/>
        <family val="1"/>
        <charset val="136"/>
      </rPr>
      <t>計劃說明</t>
    </r>
    <phoneticPr fontId="1" type="noConversion"/>
  </si>
  <si>
    <t>*計劃需可增減, 不同福利類型有不同計劃</t>
    <phoneticPr fontId="1" type="noConversion"/>
  </si>
  <si>
    <r>
      <t xml:space="preserve">Z000  </t>
    </r>
    <r>
      <rPr>
        <sz val="11"/>
        <color theme="1"/>
        <rFont val="新細明體"/>
        <family val="1"/>
        <charset val="136"/>
      </rPr>
      <t>福儲信託提撥</t>
    </r>
  </si>
  <si>
    <r>
      <t xml:space="preserve">Z001  </t>
    </r>
    <r>
      <rPr>
        <sz val="11"/>
        <color theme="1"/>
        <rFont val="新細明體"/>
        <family val="1"/>
        <charset val="136"/>
      </rPr>
      <t>房屋費用</t>
    </r>
  </si>
  <si>
    <r>
      <t xml:space="preserve">Z002  </t>
    </r>
    <r>
      <rPr>
        <sz val="11"/>
        <color theme="1"/>
        <rFont val="新細明體"/>
        <family val="1"/>
        <charset val="136"/>
      </rPr>
      <t>育兒、托兒、托老費用</t>
    </r>
  </si>
  <si>
    <r>
      <t xml:space="preserve">Z003  </t>
    </r>
    <r>
      <rPr>
        <sz val="11"/>
        <color theme="1"/>
        <rFont val="新細明體"/>
        <family val="1"/>
        <charset val="136"/>
      </rPr>
      <t>保險費用</t>
    </r>
  </si>
  <si>
    <r>
      <t xml:space="preserve">Z004  </t>
    </r>
    <r>
      <rPr>
        <sz val="11"/>
        <color theme="1"/>
        <rFont val="新細明體"/>
        <family val="1"/>
        <charset val="136"/>
      </rPr>
      <t>教育費用</t>
    </r>
  </si>
  <si>
    <r>
      <t xml:space="preserve">Z005  </t>
    </r>
    <r>
      <rPr>
        <sz val="11"/>
        <color theme="1"/>
        <rFont val="新細明體"/>
        <family val="1"/>
        <charset val="136"/>
      </rPr>
      <t>健康醫療費用</t>
    </r>
  </si>
  <si>
    <r>
      <t xml:space="preserve">Z006  </t>
    </r>
    <r>
      <rPr>
        <sz val="11"/>
        <color theme="1"/>
        <rFont val="新細明體"/>
        <family val="1"/>
        <charset val="136"/>
      </rPr>
      <t>個人成長、進修計畫費用</t>
    </r>
  </si>
  <si>
    <r>
      <t xml:space="preserve">Z007  </t>
    </r>
    <r>
      <rPr>
        <sz val="11"/>
        <color theme="1"/>
        <rFont val="新細明體"/>
        <family val="1"/>
        <charset val="136"/>
      </rPr>
      <t>汽機車費用</t>
    </r>
  </si>
  <si>
    <r>
      <t xml:space="preserve">Z008  </t>
    </r>
    <r>
      <rPr>
        <sz val="11"/>
        <color theme="1"/>
        <rFont val="新細明體"/>
        <family val="1"/>
        <charset val="136"/>
      </rPr>
      <t>旅遊費用</t>
    </r>
  </si>
  <si>
    <r>
      <t xml:space="preserve">Z009  </t>
    </r>
    <r>
      <rPr>
        <sz val="11"/>
        <color theme="1"/>
        <rFont val="新細明體"/>
        <family val="1"/>
        <charset val="136"/>
      </rPr>
      <t>交際費</t>
    </r>
  </si>
  <si>
    <r>
      <t xml:space="preserve">Z010  </t>
    </r>
    <r>
      <rPr>
        <sz val="11"/>
        <color theme="1"/>
        <rFont val="新細明體"/>
        <family val="1"/>
        <charset val="136"/>
      </rPr>
      <t>通訊費用</t>
    </r>
  </si>
  <si>
    <r>
      <t>Z012  7net</t>
    </r>
    <r>
      <rPr>
        <sz val="11"/>
        <color theme="1"/>
        <rFont val="新細明體"/>
        <family val="1"/>
        <charset val="136"/>
      </rPr>
      <t>購物點數</t>
    </r>
  </si>
  <si>
    <t>固定字串EMP_DIFF+執行日YYYYMMDD.TXT</t>
    <phoneticPr fontId="2" type="noConversion"/>
  </si>
  <si>
    <t>EMP_DIFF20120712.TXT</t>
    <phoneticPr fontId="2" type="noConversion"/>
  </si>
  <si>
    <t>固定為EMP_DIFF</t>
    <phoneticPr fontId="2" type="noConversion"/>
  </si>
  <si>
    <t>EMPLOYEEDIFF</t>
    <phoneticPr fontId="2" type="noConversion"/>
  </si>
  <si>
    <t>EMP_DIFF2012071200000100</t>
    <phoneticPr fontId="2" type="noConversion"/>
  </si>
  <si>
    <t>狀態</t>
    <phoneticPr fontId="2" type="noConversion"/>
  </si>
  <si>
    <t>文字(I:新增，U:修改，D:刪除)</t>
    <phoneticPr fontId="2" type="noConversion"/>
  </si>
  <si>
    <t>U</t>
    <phoneticPr fontId="2" type="noConversion"/>
  </si>
  <si>
    <r>
      <t xml:space="preserve">阿拉伯數字 ( </t>
    </r>
    <r>
      <rPr>
        <sz val="10"/>
        <color indexed="60"/>
        <rFont val="Arial Unicode MS"/>
        <family val="2"/>
        <charset val="136"/>
      </rPr>
      <t>公司成本中心</t>
    </r>
    <r>
      <rPr>
        <sz val="10"/>
        <rFont val="Arial Unicode MS"/>
        <family val="2"/>
        <charset val="136"/>
      </rPr>
      <t xml:space="preserve"> )</t>
    </r>
    <phoneticPr fontId="2" type="noConversion"/>
  </si>
  <si>
    <t>FT/PT</t>
    <phoneticPr fontId="2" type="noConversion"/>
  </si>
  <si>
    <t>資訊系統專員</t>
    <phoneticPr fontId="2" type="noConversion"/>
  </si>
  <si>
    <t>M:男,F:女</t>
    <phoneticPr fontId="2" type="noConversion"/>
  </si>
  <si>
    <t>最新一筆的離職復職/復職/調入日</t>
    <phoneticPr fontId="1" type="noConversion"/>
  </si>
  <si>
    <t>最新一筆的離職/留停/調任日</t>
    <phoneticPr fontId="1" type="noConversion"/>
  </si>
  <si>
    <t>王小明|999999|12345678|FT|資訊系統專員|20120115|20120630|M|10008326</t>
    <phoneticPr fontId="2" type="noConversion"/>
  </si>
  <si>
    <t>固定字串TOTALF+執行日YYYYMMDD.TXT</t>
    <phoneticPr fontId="2" type="noConversion"/>
  </si>
  <si>
    <t>TOTAL20120712.TXT</t>
    <phoneticPr fontId="2" type="noConversion"/>
  </si>
  <si>
    <r>
      <t>加班轉代休(不扣當月有請的代休)
--&gt;</t>
    </r>
    <r>
      <rPr>
        <sz val="12"/>
        <color rgb="FFFF0000"/>
        <rFont val="微軟正黑體"/>
        <family val="2"/>
        <charset val="136"/>
      </rPr>
      <t>請假資料先扣哪一種假由sap處理</t>
    </r>
    <phoneticPr fontId="1" type="noConversion"/>
  </si>
  <si>
    <t>休息日加班</t>
    <phoneticPr fontId="1" type="noConversion"/>
  </si>
  <si>
    <t>國定假日加班</t>
    <phoneticPr fontId="1" type="noConversion"/>
  </si>
  <si>
    <t>假日加班時數</t>
    <phoneticPr fontId="2" type="noConversion"/>
  </si>
  <si>
    <t>國定假日加班時數</t>
    <phoneticPr fontId="2" type="noConversion"/>
  </si>
  <si>
    <t>1.33加班時數</t>
    <phoneticPr fontId="2" type="noConversion"/>
  </si>
  <si>
    <t>1.66加班時數</t>
    <phoneticPr fontId="2" type="noConversion"/>
  </si>
  <si>
    <t>夜班時數</t>
    <phoneticPr fontId="2" type="noConversion"/>
  </si>
  <si>
    <t>代休時數（當月新增額度）*1.34</t>
    <phoneticPr fontId="2" type="noConversion"/>
  </si>
  <si>
    <t>代休*1</t>
    <phoneticPr fontId="1" type="noConversion"/>
  </si>
  <si>
    <t>代休*1.67</t>
    <phoneticPr fontId="1" type="noConversion"/>
  </si>
  <si>
    <t>代休*2.67</t>
    <phoneticPr fontId="1" type="noConversion"/>
  </si>
  <si>
    <t>休息日前2小時加班</t>
  </si>
  <si>
    <t>休息日第4至第8小時加班</t>
  </si>
  <si>
    <t>休息日第9小時後加班</t>
  </si>
  <si>
    <t>國定假日加班2倍-PT</t>
    <phoneticPr fontId="1" type="noConversion"/>
  </si>
  <si>
    <t>代休截止日</t>
    <phoneticPr fontId="1" type="noConversion"/>
  </si>
  <si>
    <t>1425</t>
    <phoneticPr fontId="1" type="noConversion"/>
  </si>
  <si>
    <t xml:space="preserve">1421-加班前二小時時數       </t>
    <phoneticPr fontId="1" type="noConversion"/>
  </si>
  <si>
    <t xml:space="preserve">1422-加班後二小時時數           </t>
    <phoneticPr fontId="1" type="noConversion"/>
  </si>
  <si>
    <t>1402</t>
    <phoneticPr fontId="1" type="noConversion"/>
  </si>
  <si>
    <t>15</t>
    <phoneticPr fontId="1" type="noConversion"/>
  </si>
  <si>
    <t>5</t>
  </si>
  <si>
    <t xml:space="preserve">只有FT有時數
</t>
    <phoneticPr fontId="1" type="noConversion"/>
  </si>
  <si>
    <t>(PT國定假日加班時數產生於休息日加班時數檔案)</t>
    <phoneticPr fontId="1" type="noConversion"/>
  </si>
  <si>
    <t>只有FT有時數</t>
    <phoneticPr fontId="1" type="noConversion"/>
  </si>
  <si>
    <t>小夜班時數</t>
    <phoneticPr fontId="2" type="noConversion"/>
  </si>
  <si>
    <t>代休時數（當月新增額度）</t>
    <phoneticPr fontId="2" type="noConversion"/>
  </si>
  <si>
    <t>FT</t>
    <phoneticPr fontId="1" type="noConversion"/>
  </si>
  <si>
    <t>PT</t>
    <phoneticPr fontId="1" type="noConversion"/>
  </si>
  <si>
    <t>考勤月份若發生FT&lt;--&gt;PT, 此員工需給2筆資料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</si>
</sst>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-&quot;$&quot;* #,##0.00_-;\-&quot;$&quot;* #,##0.00_-;_-&quot;$&quot;* &quot;-&quot;??_-;_-@_-"/>
  </numFmts>
  <fonts count="68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u/>
      <sz val="12"/>
      <color theme="10"/>
      <name val="新細明體"/>
      <family val="1"/>
      <charset val="136"/>
    </font>
    <font>
      <sz val="16"/>
      <name val="華康新特黑體(P)"/>
      <family val="3"/>
      <charset val="136"/>
    </font>
    <font>
      <sz val="12"/>
      <color theme="1"/>
      <name val="微軟正黑體"/>
      <family val="2"/>
      <charset val="136"/>
    </font>
    <font>
      <sz val="12"/>
      <name val="新細明體"/>
      <family val="1"/>
      <charset val="136"/>
    </font>
    <font>
      <sz val="10"/>
      <name val="Arial Unicode MS"/>
      <family val="2"/>
      <charset val="136"/>
    </font>
    <font>
      <sz val="12"/>
      <color rgb="FFC00000"/>
      <name val="微軟正黑體"/>
      <family val="2"/>
      <charset val="136"/>
    </font>
    <font>
      <b/>
      <sz val="12"/>
      <color theme="1"/>
      <name val="華康新特黑體"/>
      <family val="3"/>
      <charset val="136"/>
    </font>
    <font>
      <sz val="12"/>
      <color rgb="FFFF000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0"/>
      <color rgb="FF0000FF"/>
      <name val="Arial Unicode MS"/>
      <family val="2"/>
      <charset val="136"/>
    </font>
    <font>
      <sz val="10"/>
      <color indexed="10"/>
      <name val="Arial Unicode MS"/>
      <family val="2"/>
      <charset val="136"/>
    </font>
    <font>
      <sz val="12"/>
      <name val="微軟正黑體"/>
      <family val="2"/>
      <charset val="136"/>
    </font>
    <font>
      <sz val="10"/>
      <color indexed="60"/>
      <name val="Arial Unicode MS"/>
      <family val="2"/>
      <charset val="136"/>
    </font>
    <font>
      <sz val="10"/>
      <color rgb="FFFF0000"/>
      <name val="Arial Unicode MS"/>
      <family val="2"/>
      <charset val="136"/>
    </font>
    <font>
      <sz val="14"/>
      <color rgb="FFFF0000"/>
      <name val="微軟正黑體"/>
      <family val="2"/>
      <charset val="136"/>
    </font>
    <font>
      <strike/>
      <sz val="10"/>
      <name val="Arial Unicode MS"/>
      <family val="2"/>
      <charset val="136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12"/>
      <color theme="1"/>
      <name val="新細明體"/>
      <family val="2"/>
      <charset val="136"/>
      <scheme val="minor"/>
    </font>
    <font>
      <strike/>
      <sz val="12"/>
      <color rgb="FFFF0000"/>
      <name val="微軟正黑體"/>
      <family val="2"/>
      <charset val="136"/>
    </font>
    <font>
      <sz val="11"/>
      <color theme="1"/>
      <name val="新細明體"/>
      <family val="1"/>
      <charset val="136"/>
    </font>
    <font>
      <sz val="11"/>
      <color theme="1"/>
      <name val="Calibri"/>
      <family val="2"/>
    </font>
    <font>
      <sz val="12"/>
      <name val="新細明體"/>
      <family val="2"/>
      <charset val="136"/>
      <scheme val="minor"/>
    </font>
    <font>
      <strike/>
      <sz val="12"/>
      <color theme="1"/>
      <name val="新細明體"/>
      <family val="1"/>
      <charset val="136"/>
      <scheme val="minor"/>
    </font>
    <font>
      <sz val="12"/>
      <color rgb="FFFF0000"/>
      <name val="新細明體"/>
      <family val="2"/>
      <charset val="136"/>
      <scheme val="minor"/>
    </font>
    <font>
      <strike/>
      <sz val="12"/>
      <color theme="1"/>
      <name val="微軟正黑體"/>
      <family val="2"/>
      <charset val="136"/>
    </font>
    <font>
      <sz val="12"/>
      <color theme="1"/>
      <name val="Times New Roman"/>
      <family val="1"/>
    </font>
    <font>
      <sz val="12"/>
      <color rgb="FF1F497D"/>
      <name val="微軟正黑體"/>
      <family val="2"/>
      <charset val="136"/>
    </font>
    <font>
      <sz val="11"/>
      <color rgb="FFFF0000"/>
      <name val="新細明體"/>
      <family val="1"/>
      <charset val="136"/>
    </font>
    <font>
      <strike/>
      <sz val="12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10"/>
      <color rgb="FFFF0000"/>
      <name val="微軟正黑體"/>
      <family val="2"/>
      <charset val="136"/>
    </font>
    <font>
      <strike/>
      <sz val="10"/>
      <color rgb="FFFF0000"/>
      <name val="微軟正黑體"/>
      <family val="2"/>
      <charset val="136"/>
    </font>
    <font>
      <strike/>
      <sz val="10"/>
      <color theme="1"/>
      <name val="微軟正黑體"/>
      <family val="2"/>
      <charset val="136"/>
    </font>
    <font>
      <sz val="11"/>
      <color rgb="FFFF0000"/>
      <name val="Calibri"/>
      <family val="2"/>
    </font>
    <font>
      <sz val="12"/>
      <color rgb="FF1F497D"/>
      <name val="新細明體"/>
      <family val="1"/>
      <charset val="136"/>
    </font>
    <font>
      <sz val="12"/>
      <color rgb="FFFF0000"/>
      <name val="新細明體"/>
      <family val="1"/>
      <charset val="136"/>
    </font>
    <font>
      <sz val="12"/>
      <color rgb="FFFF0000"/>
      <name val="Calibri"/>
      <family val="2"/>
    </font>
    <font>
      <sz val="12"/>
      <color rgb="FF1F497D"/>
      <name val="Calibri"/>
      <family val="2"/>
    </font>
    <font>
      <sz val="12"/>
      <color rgb="FF002060"/>
      <name val="Calibri"/>
      <family val="2"/>
    </font>
    <font>
      <sz val="12"/>
      <color rgb="FF002060"/>
      <name val="新細明體"/>
      <family val="1"/>
      <charset val="136"/>
    </font>
    <font>
      <b/>
      <sz val="12"/>
      <color rgb="FF000000"/>
      <name val="新細明體"/>
      <family val="1"/>
      <charset val="136"/>
    </font>
    <font>
      <strike/>
      <sz val="12"/>
      <color theme="1"/>
      <name val="新細明體"/>
      <family val="2"/>
      <charset val="136"/>
      <scheme val="minor"/>
    </font>
    <font>
      <b/>
      <strike/>
      <sz val="12"/>
      <color rgb="FF000000"/>
      <name val="新細明體"/>
      <family val="1"/>
      <charset val="136"/>
    </font>
    <font>
      <sz val="12"/>
      <color rgb="FFFF0000"/>
      <name val="新細明體"/>
      <family val="1"/>
      <charset val="136"/>
      <scheme val="minor"/>
    </font>
    <font>
      <b/>
      <sz val="11"/>
      <name val="微軟正黑體"/>
      <family val="2"/>
      <charset val="136"/>
    </font>
    <font>
      <sz val="11"/>
      <name val="微軟正黑體"/>
      <family val="2"/>
      <charset val="136"/>
    </font>
    <font>
      <u/>
      <sz val="12"/>
      <color theme="10"/>
      <name val="微軟正黑體"/>
      <family val="2"/>
      <charset val="136"/>
    </font>
    <font>
      <sz val="10"/>
      <name val="微軟正黑體"/>
      <family val="2"/>
      <charset val="136"/>
    </font>
    <font>
      <strike/>
      <sz val="11"/>
      <name val="微軟正黑體"/>
      <family val="2"/>
      <charset val="136"/>
    </font>
    <font>
      <strike/>
      <u/>
      <sz val="12"/>
      <color theme="10"/>
      <name val="微軟正黑體"/>
      <family val="2"/>
      <charset val="136"/>
    </font>
    <font>
      <sz val="11"/>
      <color rgb="FFFF0000"/>
      <name val="微軟正黑體"/>
      <family val="2"/>
      <charset val="136"/>
    </font>
    <font>
      <sz val="16"/>
      <name val="微軟正黑體"/>
      <family val="2"/>
      <charset val="136"/>
    </font>
    <font>
      <sz val="10"/>
      <color rgb="FF0000FF"/>
      <name val="微軟正黑體"/>
      <family val="2"/>
      <charset val="136"/>
    </font>
    <font>
      <sz val="10"/>
      <color indexed="10"/>
      <name val="微軟正黑體"/>
      <family val="2"/>
      <charset val="136"/>
    </font>
    <font>
      <strike/>
      <sz val="10"/>
      <name val="微軟正黑體"/>
      <family val="2"/>
      <charset val="136"/>
    </font>
    <font>
      <strike/>
      <sz val="10"/>
      <color indexed="10"/>
      <name val="微軟正黑體"/>
      <family val="2"/>
      <charset val="136"/>
    </font>
    <font>
      <b/>
      <sz val="10"/>
      <color rgb="FFFF0000"/>
      <name val="微軟正黑體"/>
      <family val="2"/>
      <charset val="136"/>
    </font>
    <font>
      <sz val="10"/>
      <color theme="1" tint="4.9989318521683403E-2"/>
      <name val="微軟正黑體"/>
      <family val="2"/>
      <charset val="136"/>
    </font>
    <font>
      <b/>
      <sz val="10"/>
      <color theme="3"/>
      <name val="微軟正黑體"/>
      <family val="2"/>
      <charset val="136"/>
    </font>
    <font>
      <sz val="11"/>
      <color theme="0"/>
      <name val="微軟正黑體"/>
      <family val="2"/>
      <charset val="136"/>
    </font>
    <font>
      <sz val="10"/>
      <color rgb="FF000000"/>
      <name val="微軟正黑體"/>
    </font>
    <font>
      <b/>
      <sz val="10"/>
      <color rgb="FFFF0000"/>
      <name val="微軟正黑體"/>
    </font>
    <font>
      <sz val="10"/>
      <name val="微軟正黑體"/>
    </font>
  </fonts>
  <fills count="1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10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6" fillId="0" borderId="0"/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176" fontId="22" fillId="0" borderId="0" applyFont="0" applyFill="0" applyBorder="0" applyAlignment="0" applyProtection="0">
      <alignment vertical="center"/>
    </xf>
  </cellStyleXfs>
  <cellXfs count="220">
    <xf numFmtId="0" fontId="0" fillId="0" borderId="0" xfId="0">
      <alignment vertical="center"/>
    </xf>
    <xf numFmtId="0" fontId="4" fillId="3" borderId="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7" fillId="0" borderId="3" xfId="2" applyFont="1" applyBorder="1"/>
    <xf numFmtId="0" fontId="7" fillId="0" borderId="1" xfId="2" applyFont="1" applyBorder="1"/>
    <xf numFmtId="0" fontId="7" fillId="0" borderId="1" xfId="2" applyFont="1" applyBorder="1" applyAlignment="1">
      <alignment horizontal="center"/>
    </xf>
    <xf numFmtId="0" fontId="7" fillId="0" borderId="0" xfId="3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4" borderId="1" xfId="0" applyNumberFormat="1" applyFont="1" applyFill="1" applyBorder="1" applyAlignment="1">
      <alignment horizontal="center" vertical="top" wrapText="1"/>
    </xf>
    <xf numFmtId="0" fontId="5" fillId="5" borderId="1" xfId="0" applyFont="1" applyFill="1" applyBorder="1" applyAlignment="1">
      <alignment vertical="top" wrapText="1"/>
    </xf>
    <xf numFmtId="49" fontId="5" fillId="0" borderId="1" xfId="0" applyNumberFormat="1" applyFont="1" applyBorder="1" applyAlignment="1">
      <alignment horizontal="center" vertical="top" wrapText="1"/>
    </xf>
    <xf numFmtId="49" fontId="5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left" vertical="top" wrapText="1"/>
    </xf>
    <xf numFmtId="49" fontId="8" fillId="0" borderId="1" xfId="0" applyNumberFormat="1" applyFont="1" applyBorder="1" applyAlignment="1">
      <alignment horizontal="left" vertical="center" wrapText="1"/>
    </xf>
    <xf numFmtId="49" fontId="5" fillId="0" borderId="1" xfId="0" applyNumberFormat="1" applyFont="1" applyBorder="1" applyAlignment="1">
      <alignment horizontal="left" vertical="center"/>
    </xf>
    <xf numFmtId="0" fontId="9" fillId="0" borderId="1" xfId="0" applyFont="1" applyBorder="1" applyAlignment="1">
      <alignment horizontal="center" vertical="top"/>
    </xf>
    <xf numFmtId="0" fontId="5" fillId="3" borderId="1" xfId="0" applyFont="1" applyFill="1" applyBorder="1">
      <alignment vertical="center"/>
    </xf>
    <xf numFmtId="0" fontId="5" fillId="0" borderId="1" xfId="0" applyFont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5" fillId="6" borderId="1" xfId="0" applyFont="1" applyFill="1" applyBorder="1">
      <alignment vertical="center"/>
    </xf>
    <xf numFmtId="0" fontId="5" fillId="6" borderId="1" xfId="0" applyFont="1" applyFill="1" applyBorder="1" applyAlignment="1">
      <alignment horizontal="left" vertical="center"/>
    </xf>
    <xf numFmtId="0" fontId="5" fillId="0" borderId="1" xfId="0" applyFont="1" applyBorder="1">
      <alignment vertical="center"/>
    </xf>
    <xf numFmtId="49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5" fillId="4" borderId="1" xfId="0" applyFont="1" applyFill="1" applyBorder="1" applyAlignment="1">
      <alignment vertical="top" wrapText="1"/>
    </xf>
    <xf numFmtId="49" fontId="5" fillId="0" borderId="1" xfId="0" applyNumberFormat="1" applyFont="1" applyBorder="1" applyAlignment="1">
      <alignment vertical="top" wrapText="1"/>
    </xf>
    <xf numFmtId="49" fontId="10" fillId="0" borderId="1" xfId="0" applyNumberFormat="1" applyFont="1" applyBorder="1" applyAlignment="1">
      <alignment vertical="top" wrapText="1"/>
    </xf>
    <xf numFmtId="49" fontId="5" fillId="0" borderId="1" xfId="0" applyNumberFormat="1" applyFont="1" applyBorder="1">
      <alignment vertical="center"/>
    </xf>
    <xf numFmtId="20" fontId="5" fillId="0" borderId="0" xfId="0" applyNumberFormat="1" applyFont="1">
      <alignment vertical="center"/>
    </xf>
    <xf numFmtId="0" fontId="10" fillId="0" borderId="0" xfId="0" applyFont="1">
      <alignment vertical="center"/>
    </xf>
    <xf numFmtId="14" fontId="5" fillId="0" borderId="0" xfId="0" applyNumberFormat="1" applyFont="1">
      <alignment vertical="center"/>
    </xf>
    <xf numFmtId="0" fontId="0" fillId="7" borderId="0" xfId="0" applyFill="1" applyAlignment="1">
      <alignment horizontal="center"/>
    </xf>
    <xf numFmtId="0" fontId="12" fillId="0" borderId="1" xfId="2" applyFont="1" applyBorder="1" applyAlignment="1">
      <alignment horizontal="center"/>
    </xf>
    <xf numFmtId="49" fontId="7" fillId="0" borderId="0" xfId="3" applyNumberFormat="1" applyFont="1" applyAlignment="1">
      <alignment horizontal="center" vertical="center"/>
    </xf>
    <xf numFmtId="0" fontId="7" fillId="0" borderId="4" xfId="3" applyFont="1" applyBorder="1">
      <alignment vertical="center"/>
    </xf>
    <xf numFmtId="49" fontId="7" fillId="0" borderId="5" xfId="3" applyNumberFormat="1" applyFont="1" applyBorder="1">
      <alignment vertical="center"/>
    </xf>
    <xf numFmtId="0" fontId="13" fillId="0" borderId="6" xfId="3" applyFont="1" applyBorder="1" applyAlignment="1">
      <alignment horizontal="left" vertical="center"/>
    </xf>
    <xf numFmtId="0" fontId="13" fillId="0" borderId="0" xfId="3" applyFont="1" applyAlignment="1">
      <alignment horizontal="center" vertical="center"/>
    </xf>
    <xf numFmtId="12" fontId="7" fillId="0" borderId="0" xfId="3" applyNumberFormat="1" applyFont="1" applyAlignment="1">
      <alignment horizontal="center" vertical="center"/>
    </xf>
    <xf numFmtId="0" fontId="7" fillId="0" borderId="1" xfId="2" applyFont="1" applyBorder="1" applyAlignment="1">
      <alignment horizontal="center" vertical="top" wrapText="1"/>
    </xf>
    <xf numFmtId="0" fontId="14" fillId="0" borderId="0" xfId="3" applyFont="1">
      <alignment vertical="center"/>
    </xf>
    <xf numFmtId="0" fontId="7" fillId="8" borderId="1" xfId="2" applyFont="1" applyFill="1" applyBorder="1" applyAlignment="1">
      <alignment horizontal="center"/>
    </xf>
    <xf numFmtId="0" fontId="7" fillId="9" borderId="1" xfId="2" applyFont="1" applyFill="1" applyBorder="1" applyAlignment="1">
      <alignment horizontal="center"/>
    </xf>
    <xf numFmtId="0" fontId="7" fillId="10" borderId="1" xfId="2" applyFont="1" applyFill="1" applyBorder="1" applyAlignment="1">
      <alignment horizontal="center"/>
    </xf>
    <xf numFmtId="0" fontId="7" fillId="0" borderId="0" xfId="2" applyFont="1" applyAlignment="1">
      <alignment horizontal="center"/>
    </xf>
    <xf numFmtId="0" fontId="12" fillId="0" borderId="0" xfId="3" applyFont="1" applyAlignment="1">
      <alignment horizontal="center" vertical="center"/>
    </xf>
    <xf numFmtId="0" fontId="7" fillId="0" borderId="0" xfId="2" applyFont="1" applyAlignment="1">
      <alignment horizontal="center" vertical="top" wrapText="1"/>
    </xf>
    <xf numFmtId="0" fontId="7" fillId="11" borderId="1" xfId="2" applyFont="1" applyFill="1" applyBorder="1" applyAlignment="1">
      <alignment horizontal="center" vertical="top" wrapText="1"/>
    </xf>
    <xf numFmtId="49" fontId="12" fillId="0" borderId="0" xfId="3" applyNumberFormat="1" applyFont="1" applyAlignment="1">
      <alignment horizontal="center" vertical="center"/>
    </xf>
    <xf numFmtId="0" fontId="7" fillId="0" borderId="0" xfId="3" applyFont="1" applyAlignment="1">
      <alignment horizontal="left" vertical="center"/>
    </xf>
    <xf numFmtId="0" fontId="17" fillId="0" borderId="0" xfId="0" applyFont="1">
      <alignment vertical="center"/>
    </xf>
    <xf numFmtId="0" fontId="18" fillId="0" borderId="0" xfId="3" applyFont="1" applyAlignment="1">
      <alignment horizontal="center" vertical="center"/>
    </xf>
    <xf numFmtId="0" fontId="12" fillId="0" borderId="1" xfId="2" applyFont="1" applyBorder="1" applyAlignment="1">
      <alignment horizontal="left"/>
    </xf>
    <xf numFmtId="0" fontId="7" fillId="0" borderId="3" xfId="2" applyFont="1" applyBorder="1" applyAlignment="1">
      <alignment horizontal="center" vertical="top" wrapText="1"/>
    </xf>
    <xf numFmtId="0" fontId="7" fillId="0" borderId="5" xfId="2" applyFont="1" applyBorder="1" applyAlignment="1">
      <alignment horizontal="center" vertical="top" wrapText="1"/>
    </xf>
    <xf numFmtId="0" fontId="7" fillId="0" borderId="7" xfId="2" applyFont="1" applyBorder="1" applyAlignment="1">
      <alignment horizontal="center" vertical="top" wrapText="1"/>
    </xf>
    <xf numFmtId="0" fontId="16" fillId="0" borderId="1" xfId="2" applyFont="1" applyBorder="1" applyAlignment="1">
      <alignment horizontal="center" vertical="top" wrapText="1"/>
    </xf>
    <xf numFmtId="0" fontId="13" fillId="0" borderId="0" xfId="3" applyFont="1" applyAlignment="1">
      <alignment horizontal="left" vertical="center"/>
    </xf>
    <xf numFmtId="0" fontId="16" fillId="0" borderId="0" xfId="3" applyFont="1" applyAlignment="1">
      <alignment horizontal="left" vertical="center"/>
    </xf>
    <xf numFmtId="0" fontId="18" fillId="0" borderId="0" xfId="3" applyFont="1">
      <alignment vertical="center"/>
    </xf>
    <xf numFmtId="46" fontId="7" fillId="0" borderId="0" xfId="3" applyNumberFormat="1" applyFont="1" applyAlignment="1">
      <alignment horizontal="center" vertical="center"/>
    </xf>
    <xf numFmtId="0" fontId="0" fillId="7" borderId="0" xfId="0" applyFill="1" applyAlignment="1">
      <alignment vertical="center" wrapText="1"/>
    </xf>
    <xf numFmtId="0" fontId="7" fillId="0" borderId="4" xfId="2" applyFont="1" applyBorder="1" applyAlignment="1">
      <alignment horizontal="center" vertical="top" wrapText="1"/>
    </xf>
    <xf numFmtId="0" fontId="18" fillId="0" borderId="1" xfId="2" applyFont="1" applyBorder="1" applyAlignment="1">
      <alignment horizontal="center" vertical="top" wrapText="1"/>
    </xf>
    <xf numFmtId="0" fontId="18" fillId="0" borderId="3" xfId="2" applyFont="1" applyBorder="1" applyAlignment="1">
      <alignment horizontal="center" vertical="top" wrapText="1"/>
    </xf>
    <xf numFmtId="0" fontId="18" fillId="0" borderId="5" xfId="2" applyFont="1" applyBorder="1" applyAlignment="1">
      <alignment horizontal="center" vertical="top" wrapText="1"/>
    </xf>
    <xf numFmtId="12" fontId="18" fillId="0" borderId="0" xfId="3" applyNumberFormat="1" applyFont="1" applyAlignment="1">
      <alignment horizontal="center" vertical="center"/>
    </xf>
    <xf numFmtId="0" fontId="18" fillId="0" borderId="0" xfId="3" applyFont="1" applyAlignment="1">
      <alignment horizontal="left" vertical="center"/>
    </xf>
    <xf numFmtId="0" fontId="18" fillId="11" borderId="1" xfId="2" applyFont="1" applyFill="1" applyBorder="1" applyAlignment="1">
      <alignment horizontal="center" vertical="top" wrapText="1"/>
    </xf>
    <xf numFmtId="0" fontId="18" fillId="0" borderId="4" xfId="2" applyFont="1" applyBorder="1" applyAlignment="1">
      <alignment horizontal="center" vertical="top" wrapText="1"/>
    </xf>
    <xf numFmtId="49" fontId="10" fillId="0" borderId="1" xfId="0" applyNumberFormat="1" applyFont="1" applyBorder="1" applyAlignment="1">
      <alignment horizontal="left" vertical="top" wrapText="1"/>
    </xf>
    <xf numFmtId="0" fontId="10" fillId="0" borderId="1" xfId="0" applyFont="1" applyBorder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7" fillId="0" borderId="1" xfId="3" applyFont="1" applyBorder="1" applyAlignment="1">
      <alignment horizontal="center" vertical="center"/>
    </xf>
    <xf numFmtId="0" fontId="7" fillId="11" borderId="0" xfId="3" applyFont="1" applyFill="1" applyAlignment="1">
      <alignment horizontal="center" vertical="center"/>
    </xf>
    <xf numFmtId="0" fontId="0" fillId="0" borderId="1" xfId="0" applyBorder="1">
      <alignment vertical="center"/>
    </xf>
    <xf numFmtId="49" fontId="0" fillId="0" borderId="1" xfId="0" applyNumberFormat="1" applyBorder="1" applyAlignment="1">
      <alignment horizontal="left" vertical="center"/>
    </xf>
    <xf numFmtId="0" fontId="7" fillId="0" borderId="1" xfId="3" quotePrefix="1" applyFont="1" applyBorder="1" applyAlignment="1">
      <alignment horizontal="center" vertical="center"/>
    </xf>
    <xf numFmtId="0" fontId="16" fillId="0" borderId="1" xfId="3" applyFont="1" applyBorder="1" applyAlignment="1">
      <alignment horizontal="center" vertical="center"/>
    </xf>
    <xf numFmtId="0" fontId="25" fillId="0" borderId="0" xfId="0" applyFont="1">
      <alignment vertical="center"/>
    </xf>
    <xf numFmtId="0" fontId="26" fillId="0" borderId="1" xfId="0" applyFont="1" applyBorder="1">
      <alignment vertical="center"/>
    </xf>
    <xf numFmtId="0" fontId="27" fillId="0" borderId="0" xfId="0" applyFont="1">
      <alignment vertical="center"/>
    </xf>
    <xf numFmtId="0" fontId="5" fillId="0" borderId="0" xfId="0" quotePrefix="1" applyFont="1">
      <alignment vertical="center"/>
    </xf>
    <xf numFmtId="0" fontId="14" fillId="0" borderId="0" xfId="0" applyFont="1">
      <alignment vertical="center"/>
    </xf>
    <xf numFmtId="49" fontId="29" fillId="0" borderId="0" xfId="0" applyNumberFormat="1" applyFont="1">
      <alignment vertical="center"/>
    </xf>
    <xf numFmtId="49" fontId="23" fillId="0" borderId="0" xfId="0" applyNumberFormat="1" applyFont="1">
      <alignment vertical="center"/>
    </xf>
    <xf numFmtId="0" fontId="28" fillId="0" borderId="0" xfId="0" applyFont="1">
      <alignment vertical="center"/>
    </xf>
    <xf numFmtId="14" fontId="5" fillId="11" borderId="0" xfId="0" applyNumberFormat="1" applyFont="1" applyFill="1">
      <alignment vertical="center"/>
    </xf>
    <xf numFmtId="20" fontId="5" fillId="11" borderId="0" xfId="0" applyNumberFormat="1" applyFont="1" applyFill="1">
      <alignment vertical="center"/>
    </xf>
    <xf numFmtId="0" fontId="5" fillId="11" borderId="0" xfId="0" applyFont="1" applyFill="1">
      <alignment vertical="center"/>
    </xf>
    <xf numFmtId="0" fontId="31" fillId="0" borderId="0" xfId="0" applyFont="1">
      <alignment vertical="center"/>
    </xf>
    <xf numFmtId="0" fontId="30" fillId="0" borderId="0" xfId="0" applyFont="1">
      <alignment vertical="center"/>
    </xf>
    <xf numFmtId="0" fontId="7" fillId="0" borderId="1" xfId="2" applyFont="1" applyBorder="1" applyAlignment="1">
      <alignment horizontal="left"/>
    </xf>
    <xf numFmtId="0" fontId="7" fillId="0" borderId="0" xfId="0" applyFont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0" fontId="33" fillId="0" borderId="0" xfId="0" applyFont="1">
      <alignment vertical="center"/>
    </xf>
    <xf numFmtId="0" fontId="7" fillId="0" borderId="1" xfId="2" applyFont="1" applyBorder="1" applyAlignment="1">
      <alignment horizontal="left" vertical="top" wrapText="1"/>
    </xf>
    <xf numFmtId="0" fontId="34" fillId="0" borderId="0" xfId="0" applyFont="1" applyAlignment="1">
      <alignment vertical="center" wrapText="1"/>
    </xf>
    <xf numFmtId="0" fontId="7" fillId="0" borderId="0" xfId="2" applyFont="1"/>
    <xf numFmtId="0" fontId="32" fillId="0" borderId="0" xfId="0" applyFont="1">
      <alignment vertical="center"/>
    </xf>
    <xf numFmtId="0" fontId="39" fillId="0" borderId="0" xfId="0" applyFont="1">
      <alignment vertical="center"/>
    </xf>
    <xf numFmtId="0" fontId="43" fillId="0" borderId="0" xfId="0" applyFont="1">
      <alignment vertical="center"/>
    </xf>
    <xf numFmtId="0" fontId="0" fillId="0" borderId="1" xfId="0" quotePrefix="1" applyBorder="1">
      <alignment vertical="center"/>
    </xf>
    <xf numFmtId="0" fontId="46" fillId="0" borderId="0" xfId="0" applyFont="1">
      <alignment vertical="center"/>
    </xf>
    <xf numFmtId="0" fontId="28" fillId="0" borderId="1" xfId="0" applyFont="1" applyBorder="1">
      <alignment vertical="center"/>
    </xf>
    <xf numFmtId="0" fontId="0" fillId="0" borderId="1" xfId="0" applyBorder="1" applyAlignment="1">
      <alignment vertical="center" wrapText="1"/>
    </xf>
    <xf numFmtId="0" fontId="45" fillId="0" borderId="1" xfId="0" applyFont="1" applyBorder="1" applyAlignment="1">
      <alignment vertical="center" wrapText="1"/>
    </xf>
    <xf numFmtId="0" fontId="46" fillId="0" borderId="1" xfId="0" applyFont="1" applyBorder="1">
      <alignment vertical="center"/>
    </xf>
    <xf numFmtId="0" fontId="47" fillId="12" borderId="1" xfId="0" applyFont="1" applyFill="1" applyBorder="1">
      <alignment vertical="center"/>
    </xf>
    <xf numFmtId="0" fontId="28" fillId="0" borderId="1" xfId="0" applyFont="1" applyBorder="1" applyAlignment="1">
      <alignment vertical="center" wrapText="1"/>
    </xf>
    <xf numFmtId="0" fontId="27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27" fillId="0" borderId="1" xfId="0" applyFont="1" applyBorder="1">
      <alignment vertical="center"/>
    </xf>
    <xf numFmtId="0" fontId="47" fillId="0" borderId="1" xfId="0" applyFont="1" applyBorder="1">
      <alignment vertical="center"/>
    </xf>
    <xf numFmtId="0" fontId="14" fillId="0" borderId="0" xfId="0" quotePrefix="1" applyFont="1">
      <alignment vertical="center"/>
    </xf>
    <xf numFmtId="0" fontId="26" fillId="11" borderId="0" xfId="0" quotePrefix="1" applyFont="1" applyFill="1">
      <alignment vertical="center"/>
    </xf>
    <xf numFmtId="0" fontId="26" fillId="11" borderId="0" xfId="0" applyFont="1" applyFill="1">
      <alignment vertical="center"/>
    </xf>
    <xf numFmtId="0" fontId="34" fillId="0" borderId="0" xfId="0" applyFont="1">
      <alignment vertical="center"/>
    </xf>
    <xf numFmtId="0" fontId="49" fillId="2" borderId="1" xfId="0" applyFont="1" applyFill="1" applyBorder="1" applyAlignment="1">
      <alignment horizontal="center" vertical="center"/>
    </xf>
    <xf numFmtId="0" fontId="51" fillId="0" borderId="1" xfId="1" applyFont="1" applyFill="1" applyBorder="1">
      <alignment vertical="center"/>
    </xf>
    <xf numFmtId="0" fontId="50" fillId="0" borderId="1" xfId="0" applyFont="1" applyBorder="1">
      <alignment vertical="center"/>
    </xf>
    <xf numFmtId="0" fontId="52" fillId="0" borderId="1" xfId="2" applyFont="1" applyBorder="1" applyAlignment="1">
      <alignment horizontal="left"/>
    </xf>
    <xf numFmtId="0" fontId="54" fillId="0" borderId="1" xfId="1" applyFont="1" applyFill="1" applyBorder="1">
      <alignment vertical="center"/>
    </xf>
    <xf numFmtId="0" fontId="53" fillId="0" borderId="1" xfId="0" applyFont="1" applyBorder="1">
      <alignment vertical="center"/>
    </xf>
    <xf numFmtId="0" fontId="37" fillId="0" borderId="0" xfId="0" applyFont="1" applyAlignment="1">
      <alignment vertical="center" wrapText="1"/>
    </xf>
    <xf numFmtId="0" fontId="29" fillId="0" borderId="0" xfId="0" applyFont="1">
      <alignment vertical="center"/>
    </xf>
    <xf numFmtId="0" fontId="52" fillId="0" borderId="0" xfId="0" applyFont="1" applyAlignment="1">
      <alignment vertical="center" wrapText="1"/>
    </xf>
    <xf numFmtId="0" fontId="52" fillId="0" borderId="10" xfId="2" applyFont="1" applyBorder="1" applyAlignment="1">
      <alignment horizontal="left"/>
    </xf>
    <xf numFmtId="0" fontId="55" fillId="0" borderId="1" xfId="0" applyFont="1" applyBorder="1">
      <alignment vertical="center"/>
    </xf>
    <xf numFmtId="0" fontId="35" fillId="0" borderId="0" xfId="0" applyFont="1" applyAlignment="1">
      <alignment vertical="center" wrapText="1"/>
    </xf>
    <xf numFmtId="0" fontId="56" fillId="3" borderId="2" xfId="1" applyFont="1" applyFill="1" applyBorder="1" applyAlignment="1">
      <alignment horizontal="center" vertical="center"/>
    </xf>
    <xf numFmtId="0" fontId="52" fillId="0" borderId="1" xfId="2" applyFont="1" applyBorder="1" applyAlignment="1">
      <alignment horizontal="center"/>
    </xf>
    <xf numFmtId="0" fontId="52" fillId="0" borderId="0" xfId="3" applyFont="1" applyAlignment="1">
      <alignment horizontal="center" vertical="center"/>
    </xf>
    <xf numFmtId="0" fontId="52" fillId="0" borderId="0" xfId="2" applyFont="1" applyAlignment="1">
      <alignment horizontal="center"/>
    </xf>
    <xf numFmtId="0" fontId="52" fillId="0" borderId="0" xfId="2" applyFont="1" applyAlignment="1">
      <alignment horizontal="center" vertical="top" wrapText="1"/>
    </xf>
    <xf numFmtId="0" fontId="52" fillId="10" borderId="1" xfId="2" applyFont="1" applyFill="1" applyBorder="1" applyAlignment="1">
      <alignment horizontal="center"/>
    </xf>
    <xf numFmtId="0" fontId="52" fillId="9" borderId="1" xfId="2" applyFont="1" applyFill="1" applyBorder="1" applyAlignment="1">
      <alignment horizontal="center"/>
    </xf>
    <xf numFmtId="0" fontId="52" fillId="8" borderId="1" xfId="2" applyFont="1" applyFill="1" applyBorder="1" applyAlignment="1">
      <alignment horizontal="center"/>
    </xf>
    <xf numFmtId="0" fontId="52" fillId="0" borderId="1" xfId="2" applyFont="1" applyBorder="1" applyAlignment="1">
      <alignment horizontal="center" vertical="top" wrapText="1"/>
    </xf>
    <xf numFmtId="49" fontId="52" fillId="0" borderId="0" xfId="3" applyNumberFormat="1" applyFont="1" applyAlignment="1">
      <alignment horizontal="center" vertical="center"/>
    </xf>
    <xf numFmtId="0" fontId="14" fillId="11" borderId="0" xfId="0" quotePrefix="1" applyFont="1" applyFill="1">
      <alignment vertical="center"/>
    </xf>
    <xf numFmtId="0" fontId="14" fillId="11" borderId="0" xfId="0" applyFont="1" applyFill="1">
      <alignment vertical="center"/>
    </xf>
    <xf numFmtId="0" fontId="35" fillId="0" borderId="1" xfId="2" applyFont="1" applyBorder="1" applyAlignment="1">
      <alignment horizontal="center" vertical="top" wrapText="1"/>
    </xf>
    <xf numFmtId="0" fontId="57" fillId="0" borderId="0" xfId="3" applyFont="1" applyAlignment="1">
      <alignment horizontal="center" vertical="center"/>
    </xf>
    <xf numFmtId="0" fontId="52" fillId="0" borderId="0" xfId="3" applyFont="1" applyAlignment="1">
      <alignment horizontal="left" vertical="center"/>
    </xf>
    <xf numFmtId="0" fontId="58" fillId="0" borderId="0" xfId="3" applyFont="1" applyAlignment="1">
      <alignment horizontal="center" vertical="center"/>
    </xf>
    <xf numFmtId="12" fontId="52" fillId="0" borderId="0" xfId="3" applyNumberFormat="1" applyFont="1" applyAlignment="1">
      <alignment horizontal="center" vertical="center"/>
    </xf>
    <xf numFmtId="0" fontId="59" fillId="0" borderId="0" xfId="3" applyFont="1" applyAlignment="1">
      <alignment horizontal="center" vertical="center"/>
    </xf>
    <xf numFmtId="0" fontId="60" fillId="0" borderId="0" xfId="3" applyFont="1" applyAlignment="1">
      <alignment horizontal="center" vertical="center"/>
    </xf>
    <xf numFmtId="49" fontId="51" fillId="0" borderId="0" xfId="1" applyNumberFormat="1" applyFont="1" applyAlignment="1">
      <alignment horizontal="center" vertical="center"/>
    </xf>
    <xf numFmtId="0" fontId="58" fillId="0" borderId="0" xfId="3" applyFont="1" applyAlignment="1">
      <alignment horizontal="left" vertical="center"/>
    </xf>
    <xf numFmtId="0" fontId="35" fillId="0" borderId="0" xfId="3" applyFont="1" applyAlignment="1">
      <alignment horizontal="left" vertical="center"/>
    </xf>
    <xf numFmtId="0" fontId="52" fillId="10" borderId="12" xfId="2" applyFont="1" applyFill="1" applyBorder="1" applyAlignment="1">
      <alignment horizontal="center"/>
    </xf>
    <xf numFmtId="0" fontId="52" fillId="9" borderId="13" xfId="2" applyFont="1" applyFill="1" applyBorder="1" applyAlignment="1">
      <alignment horizontal="center"/>
    </xf>
    <xf numFmtId="0" fontId="52" fillId="8" borderId="13" xfId="2" applyFont="1" applyFill="1" applyBorder="1" applyAlignment="1">
      <alignment horizontal="center"/>
    </xf>
    <xf numFmtId="0" fontId="52" fillId="8" borderId="14" xfId="2" applyFont="1" applyFill="1" applyBorder="1" applyAlignment="1">
      <alignment horizontal="center"/>
    </xf>
    <xf numFmtId="0" fontId="52" fillId="0" borderId="15" xfId="3" applyFont="1" applyBorder="1" applyAlignment="1">
      <alignment horizontal="center" vertical="center"/>
    </xf>
    <xf numFmtId="0" fontId="52" fillId="0" borderId="18" xfId="3" applyFont="1" applyBorder="1" applyAlignment="1">
      <alignment horizontal="left" vertical="center"/>
    </xf>
    <xf numFmtId="0" fontId="52" fillId="0" borderId="15" xfId="2" applyFont="1" applyBorder="1" applyAlignment="1">
      <alignment horizontal="center" vertical="center" wrapText="1"/>
    </xf>
    <xf numFmtId="0" fontId="52" fillId="0" borderId="11" xfId="2" applyFont="1" applyBorder="1" applyAlignment="1">
      <alignment horizontal="center" vertical="center" wrapText="1"/>
    </xf>
    <xf numFmtId="0" fontId="52" fillId="0" borderId="11" xfId="2" applyFont="1" applyBorder="1" applyAlignment="1">
      <alignment horizontal="left" vertical="center" wrapText="1"/>
    </xf>
    <xf numFmtId="0" fontId="52" fillId="0" borderId="16" xfId="2" applyFont="1" applyBorder="1" applyAlignment="1">
      <alignment horizontal="center" vertical="center" wrapText="1"/>
    </xf>
    <xf numFmtId="0" fontId="59" fillId="0" borderId="11" xfId="2" applyFont="1" applyBorder="1" applyAlignment="1">
      <alignment horizontal="center" vertical="center" wrapText="1"/>
    </xf>
    <xf numFmtId="0" fontId="52" fillId="0" borderId="18" xfId="2" applyFont="1" applyBorder="1" applyAlignment="1">
      <alignment horizontal="center" vertical="center" wrapText="1"/>
    </xf>
    <xf numFmtId="0" fontId="52" fillId="0" borderId="19" xfId="2" applyFont="1" applyBorder="1" applyAlignment="1">
      <alignment horizontal="center" vertical="center" wrapText="1"/>
    </xf>
    <xf numFmtId="0" fontId="52" fillId="13" borderId="15" xfId="2" applyFont="1" applyFill="1" applyBorder="1" applyAlignment="1">
      <alignment horizontal="center" vertical="center" wrapText="1"/>
    </xf>
    <xf numFmtId="0" fontId="52" fillId="13" borderId="17" xfId="2" applyFont="1" applyFill="1" applyBorder="1" applyAlignment="1">
      <alignment horizontal="center" vertical="center" wrapText="1"/>
    </xf>
    <xf numFmtId="0" fontId="61" fillId="0" borderId="11" xfId="3" applyFont="1" applyBorder="1" applyAlignment="1">
      <alignment horizontal="left" vertical="center" wrapText="1"/>
    </xf>
    <xf numFmtId="0" fontId="52" fillId="0" borderId="21" xfId="2" applyFont="1" applyBorder="1" applyAlignment="1">
      <alignment horizontal="center" vertical="center" wrapText="1"/>
    </xf>
    <xf numFmtId="0" fontId="52" fillId="0" borderId="20" xfId="2" applyFont="1" applyBorder="1" applyAlignment="1">
      <alignment horizontal="center" vertical="center" wrapText="1"/>
    </xf>
    <xf numFmtId="49" fontId="62" fillId="0" borderId="0" xfId="3" applyNumberFormat="1" applyFont="1" applyAlignment="1">
      <alignment horizontal="center" vertical="center" wrapText="1"/>
    </xf>
    <xf numFmtId="49" fontId="52" fillId="0" borderId="0" xfId="3" applyNumberFormat="1" applyFont="1" applyAlignment="1">
      <alignment horizontal="center" vertical="center" wrapText="1"/>
    </xf>
    <xf numFmtId="0" fontId="52" fillId="0" borderId="22" xfId="2" applyFont="1" applyBorder="1" applyAlignment="1">
      <alignment horizontal="center"/>
    </xf>
    <xf numFmtId="0" fontId="52" fillId="0" borderId="22" xfId="3" applyFont="1" applyBorder="1" applyAlignment="1">
      <alignment horizontal="left" vertical="center"/>
    </xf>
    <xf numFmtId="49" fontId="52" fillId="0" borderId="22" xfId="3" applyNumberFormat="1" applyFont="1" applyBorder="1">
      <alignment vertical="center"/>
    </xf>
    <xf numFmtId="0" fontId="52" fillId="0" borderId="22" xfId="3" applyFont="1" applyBorder="1">
      <alignment vertical="center"/>
    </xf>
    <xf numFmtId="0" fontId="61" fillId="0" borderId="18" xfId="3" applyFont="1" applyBorder="1" applyAlignment="1">
      <alignment horizontal="left" vertical="center" wrapText="1"/>
    </xf>
    <xf numFmtId="0" fontId="52" fillId="14" borderId="15" xfId="2" applyFont="1" applyFill="1" applyBorder="1" applyAlignment="1">
      <alignment horizontal="center" vertical="center" wrapText="1"/>
    </xf>
    <xf numFmtId="0" fontId="52" fillId="14" borderId="17" xfId="2" applyFont="1" applyFill="1" applyBorder="1" applyAlignment="1">
      <alignment horizontal="center" vertical="center" wrapText="1"/>
    </xf>
    <xf numFmtId="0" fontId="63" fillId="11" borderId="0" xfId="3" applyFont="1" applyFill="1" applyAlignment="1">
      <alignment horizontal="left" vertical="center"/>
    </xf>
    <xf numFmtId="0" fontId="50" fillId="15" borderId="1" xfId="0" applyFont="1" applyFill="1" applyBorder="1" applyAlignment="1">
      <alignment horizontal="center" vertical="center"/>
    </xf>
    <xf numFmtId="0" fontId="50" fillId="16" borderId="1" xfId="0" applyFont="1" applyFill="1" applyBorder="1" applyAlignment="1">
      <alignment horizontal="center" vertical="center"/>
    </xf>
    <xf numFmtId="0" fontId="53" fillId="16" borderId="1" xfId="0" applyFont="1" applyFill="1" applyBorder="1" applyAlignment="1">
      <alignment horizontal="center" vertical="center"/>
    </xf>
    <xf numFmtId="0" fontId="50" fillId="17" borderId="1" xfId="0" applyFont="1" applyFill="1" applyBorder="1" applyAlignment="1">
      <alignment horizontal="center" vertical="center"/>
    </xf>
    <xf numFmtId="0" fontId="64" fillId="18" borderId="1" xfId="0" applyFont="1" applyFill="1" applyBorder="1" applyAlignment="1">
      <alignment horizontal="center" vertical="center"/>
    </xf>
    <xf numFmtId="0" fontId="64" fillId="18" borderId="10" xfId="0" applyFont="1" applyFill="1" applyBorder="1" applyAlignment="1">
      <alignment horizontal="center" vertical="center"/>
    </xf>
    <xf numFmtId="0" fontId="67" fillId="0" borderId="11" xfId="2" applyFont="1" applyBorder="1" applyAlignment="1">
      <alignment horizontal="left" vertical="center" wrapText="1"/>
    </xf>
    <xf numFmtId="0" fontId="52" fillId="0" borderId="3" xfId="2" applyFont="1" applyBorder="1" applyAlignment="1">
      <alignment horizontal="center"/>
    </xf>
    <xf numFmtId="0" fontId="52" fillId="0" borderId="4" xfId="2" applyFont="1" applyBorder="1" applyAlignment="1">
      <alignment horizontal="center"/>
    </xf>
    <xf numFmtId="0" fontId="52" fillId="0" borderId="1" xfId="2" applyFont="1" applyBorder="1" applyAlignment="1">
      <alignment horizontal="center"/>
    </xf>
    <xf numFmtId="0" fontId="52" fillId="0" borderId="1" xfId="3" applyFont="1" applyBorder="1" applyAlignment="1">
      <alignment horizontal="center" vertical="center"/>
    </xf>
    <xf numFmtId="49" fontId="52" fillId="0" borderId="3" xfId="3" applyNumberFormat="1" applyFont="1" applyBorder="1" applyAlignment="1">
      <alignment horizontal="center" vertical="center"/>
    </xf>
    <xf numFmtId="49" fontId="52" fillId="0" borderId="5" xfId="3" applyNumberFormat="1" applyFont="1" applyBorder="1" applyAlignment="1">
      <alignment horizontal="center" vertical="center"/>
    </xf>
    <xf numFmtId="0" fontId="52" fillId="0" borderId="4" xfId="3" applyFont="1" applyBorder="1" applyAlignment="1">
      <alignment horizontal="center" vertical="center"/>
    </xf>
    <xf numFmtId="49" fontId="52" fillId="0" borderId="3" xfId="3" applyNumberFormat="1" applyFont="1" applyBorder="1" applyAlignment="1">
      <alignment horizontal="left" vertical="center"/>
    </xf>
    <xf numFmtId="49" fontId="52" fillId="0" borderId="5" xfId="3" applyNumberFormat="1" applyFont="1" applyBorder="1" applyAlignment="1">
      <alignment horizontal="left" vertical="center"/>
    </xf>
    <xf numFmtId="49" fontId="52" fillId="0" borderId="4" xfId="3" applyNumberFormat="1" applyFont="1" applyBorder="1" applyAlignment="1">
      <alignment horizontal="left" vertical="center"/>
    </xf>
    <xf numFmtId="0" fontId="7" fillId="0" borderId="1" xfId="2" applyFont="1" applyBorder="1" applyAlignment="1">
      <alignment horizontal="center"/>
    </xf>
    <xf numFmtId="0" fontId="7" fillId="0" borderId="1" xfId="3" applyFont="1" applyBorder="1" applyAlignment="1">
      <alignment horizontal="center" vertical="center"/>
    </xf>
    <xf numFmtId="49" fontId="16" fillId="0" borderId="3" xfId="3" applyNumberFormat="1" applyFont="1" applyBorder="1" applyAlignment="1">
      <alignment horizontal="center" vertical="center"/>
    </xf>
    <xf numFmtId="49" fontId="16" fillId="0" borderId="5" xfId="3" applyNumberFormat="1" applyFont="1" applyBorder="1" applyAlignment="1">
      <alignment horizontal="center" vertical="center"/>
    </xf>
    <xf numFmtId="0" fontId="16" fillId="0" borderId="4" xfId="3" applyFont="1" applyBorder="1" applyAlignment="1">
      <alignment horizontal="center" vertical="center"/>
    </xf>
    <xf numFmtId="49" fontId="7" fillId="0" borderId="3" xfId="3" applyNumberFormat="1" applyFont="1" applyBorder="1" applyAlignment="1">
      <alignment horizontal="left" vertical="center"/>
    </xf>
    <xf numFmtId="49" fontId="7" fillId="0" borderId="5" xfId="3" applyNumberFormat="1" applyFont="1" applyBorder="1" applyAlignment="1">
      <alignment horizontal="left" vertical="center"/>
    </xf>
    <xf numFmtId="49" fontId="7" fillId="0" borderId="4" xfId="3" applyNumberFormat="1" applyFont="1" applyBorder="1" applyAlignment="1">
      <alignment horizontal="left" vertical="center"/>
    </xf>
    <xf numFmtId="0" fontId="7" fillId="11" borderId="1" xfId="3" applyFont="1" applyFill="1" applyBorder="1" applyAlignment="1">
      <alignment horizontal="left" vertical="center"/>
    </xf>
    <xf numFmtId="0" fontId="16" fillId="0" borderId="3" xfId="3" applyFont="1" applyBorder="1" applyAlignment="1">
      <alignment horizontal="left" vertical="center" wrapText="1"/>
    </xf>
    <xf numFmtId="0" fontId="16" fillId="0" borderId="5" xfId="3" applyFont="1" applyBorder="1" applyAlignment="1">
      <alignment horizontal="left" vertical="center"/>
    </xf>
    <xf numFmtId="0" fontId="16" fillId="0" borderId="4" xfId="3" applyFont="1" applyBorder="1" applyAlignment="1">
      <alignment horizontal="left" vertical="center"/>
    </xf>
    <xf numFmtId="0" fontId="5" fillId="5" borderId="8" xfId="0" applyFont="1" applyFill="1" applyBorder="1" applyAlignment="1">
      <alignment horizontal="left" vertical="top" wrapText="1"/>
    </xf>
    <xf numFmtId="0" fontId="5" fillId="5" borderId="9" xfId="0" applyFont="1" applyFill="1" applyBorder="1" applyAlignment="1">
      <alignment horizontal="left" vertical="top" wrapText="1"/>
    </xf>
    <xf numFmtId="49" fontId="7" fillId="0" borderId="3" xfId="3" applyNumberFormat="1" applyFont="1" applyBorder="1" applyAlignment="1">
      <alignment horizontal="center" vertical="center"/>
    </xf>
    <xf numFmtId="49" fontId="7" fillId="0" borderId="5" xfId="3" applyNumberFormat="1" applyFont="1" applyBorder="1" applyAlignment="1">
      <alignment horizontal="center" vertical="center"/>
    </xf>
    <xf numFmtId="0" fontId="7" fillId="0" borderId="4" xfId="3" applyFont="1" applyBorder="1" applyAlignment="1">
      <alignment horizontal="center" vertical="center"/>
    </xf>
    <xf numFmtId="0" fontId="7" fillId="0" borderId="3" xfId="2" applyFont="1" applyBorder="1" applyAlignment="1">
      <alignment horizontal="center"/>
    </xf>
    <xf numFmtId="0" fontId="7" fillId="0" borderId="4" xfId="2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</cellXfs>
  <cellStyles count="10">
    <cellStyle name="一般" xfId="0" builtinId="0"/>
    <cellStyle name="一般 2" xfId="3" xr:uid="{00000000-0005-0000-0000-000001000000}"/>
    <cellStyle name="一般 3" xfId="4" xr:uid="{00000000-0005-0000-0000-000002000000}"/>
    <cellStyle name="一般 5" xfId="5" xr:uid="{00000000-0005-0000-0000-000003000000}"/>
    <cellStyle name="一般 6" xfId="6" xr:uid="{00000000-0005-0000-0000-000004000000}"/>
    <cellStyle name="一般 7" xfId="7" xr:uid="{00000000-0005-0000-0000-000005000000}"/>
    <cellStyle name="一般 8" xfId="8" xr:uid="{00000000-0005-0000-0000-000006000000}"/>
    <cellStyle name="一般_其他訂貨驗收V58" xfId="2" xr:uid="{00000000-0005-0000-0000-000007000000}"/>
    <cellStyle name="貨幣 2" xfId="9" xr:uid="{00000000-0005-0000-0000-000008000000}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cid:image010.jpg@01D3D344.6BA1F790" TargetMode="External"/><Relationship Id="rId3" Type="http://schemas.openxmlformats.org/officeDocument/2006/relationships/image" Target="../media/image4.jpeg"/><Relationship Id="rId7" Type="http://schemas.openxmlformats.org/officeDocument/2006/relationships/image" Target="../media/image6.jpeg"/><Relationship Id="rId2" Type="http://schemas.openxmlformats.org/officeDocument/2006/relationships/image" Target="cid:image002.jpg@01D3D344.6BA1F790" TargetMode="External"/><Relationship Id="rId1" Type="http://schemas.openxmlformats.org/officeDocument/2006/relationships/image" Target="../media/image3.jpeg"/><Relationship Id="rId6" Type="http://schemas.openxmlformats.org/officeDocument/2006/relationships/image" Target="cid:image009.jpg@01D3D344.6BA1F790" TargetMode="External"/><Relationship Id="rId5" Type="http://schemas.openxmlformats.org/officeDocument/2006/relationships/image" Target="../media/image5.jpeg"/><Relationship Id="rId4" Type="http://schemas.openxmlformats.org/officeDocument/2006/relationships/image" Target="cid:image008.jpg@01D3D344.6BA1F790" TargetMode="External"/><Relationship Id="rId9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32</xdr:row>
      <xdr:rowOff>45720</xdr:rowOff>
    </xdr:from>
    <xdr:to>
      <xdr:col>5</xdr:col>
      <xdr:colOff>475731</xdr:colOff>
      <xdr:row>49</xdr:row>
      <xdr:rowOff>175260</xdr:rowOff>
    </xdr:to>
    <xdr:pic>
      <xdr:nvPicPr>
        <xdr:cNvPr id="2" name="圖片 1" descr="image00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" y="6263640"/>
          <a:ext cx="6617451" cy="3368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50</xdr:row>
      <xdr:rowOff>99060</xdr:rowOff>
    </xdr:from>
    <xdr:to>
      <xdr:col>6</xdr:col>
      <xdr:colOff>134999</xdr:colOff>
      <xdr:row>62</xdr:row>
      <xdr:rowOff>152400</xdr:rowOff>
    </xdr:to>
    <xdr:pic>
      <xdr:nvPicPr>
        <xdr:cNvPr id="3" name="圖片 3" descr="image004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45980"/>
          <a:ext cx="6916799" cy="2339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600075</xdr:colOff>
      <xdr:row>0</xdr:row>
      <xdr:rowOff>209549</xdr:rowOff>
    </xdr:from>
    <xdr:to>
      <xdr:col>9</xdr:col>
      <xdr:colOff>447675</xdr:colOff>
      <xdr:row>25</xdr:row>
      <xdr:rowOff>41274</xdr:rowOff>
    </xdr:to>
    <xdr:sp macro="" textlink="">
      <xdr:nvSpPr>
        <xdr:cNvPr id="2" name="文字方塊 1">
          <a:extLst>
            <a:ext uri="{FF2B5EF4-FFF2-40B4-BE49-F238E27FC236}">
              <a16:creationId xmlns:a16="http://schemas.microsoft.com/office/drawing/2014/main" id="{7A94FC0E-1075-28CF-C96B-25E23B69DB58}"/>
            </a:ext>
          </a:extLst>
        </xdr:cNvPr>
        <xdr:cNvSpPr txBox="1"/>
      </xdr:nvSpPr>
      <xdr:spPr>
        <a:xfrm>
          <a:off x="600075" y="209549"/>
          <a:ext cx="5334000" cy="5308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1200">
              <a:solidFill>
                <a:schemeClr val="dk1"/>
              </a:solidFill>
              <a:effectLst/>
              <a:latin typeface="微軟正黑體 Light" panose="020B0304030504040204" pitchFamily="34" charset="-120"/>
              <a:ea typeface="微軟正黑體 Light" panose="020B0304030504040204" pitchFamily="34" charset="-120"/>
              <a:cs typeface="+mn-cs"/>
            </a:rPr>
            <a:t>統一規則：</a:t>
          </a:r>
          <a:endParaRPr lang="en-US" altLang="zh-TW" sz="1200">
            <a:solidFill>
              <a:schemeClr val="dk1"/>
            </a:solidFill>
            <a:effectLst/>
            <a:latin typeface="微軟正黑體 Light" panose="020B0304030504040204" pitchFamily="34" charset="-120"/>
            <a:ea typeface="微軟正黑體 Light" panose="020B0304030504040204" pitchFamily="34" charset="-120"/>
            <a:cs typeface="+mn-cs"/>
          </a:endParaRPr>
        </a:p>
        <a:p>
          <a:r>
            <a:rPr lang="zh-TW" altLang="zh-TW" sz="1200">
              <a:solidFill>
                <a:schemeClr val="dk1"/>
              </a:solidFill>
              <a:effectLst/>
              <a:latin typeface="微軟正黑體 Light" panose="020B0304030504040204" pitchFamily="34" charset="-120"/>
              <a:ea typeface="微軟正黑體 Light" panose="020B0304030504040204" pitchFamily="34" charset="-120"/>
              <a:cs typeface="+mn-cs"/>
            </a:rPr>
            <a:t>格式說明：　</a:t>
          </a:r>
          <a:endParaRPr lang="zh-TW" altLang="zh-TW" sz="1200">
            <a:effectLst/>
            <a:latin typeface="微軟正黑體 Light" panose="020B0304030504040204" pitchFamily="34" charset="-120"/>
            <a:ea typeface="微軟正黑體 Light" panose="020B0304030504040204" pitchFamily="34" charset="-120"/>
          </a:endParaRPr>
        </a:p>
        <a:p>
          <a:r>
            <a:rPr lang="zh-TW" altLang="zh-TW" sz="1200">
              <a:solidFill>
                <a:schemeClr val="dk1"/>
              </a:solidFill>
              <a:effectLst/>
              <a:latin typeface="微軟正黑體 Light" panose="020B0304030504040204" pitchFamily="34" charset="-120"/>
              <a:ea typeface="微軟正黑體 Light" panose="020B0304030504040204" pitchFamily="34" charset="-120"/>
              <a:cs typeface="+mn-cs"/>
            </a:rPr>
            <a:t>工號</a:t>
          </a:r>
          <a:r>
            <a:rPr lang="en-US" altLang="zh-TW" sz="1200">
              <a:solidFill>
                <a:schemeClr val="dk1"/>
              </a:solidFill>
              <a:effectLst/>
              <a:latin typeface="微軟正黑體 Light" panose="020B0304030504040204" pitchFamily="34" charset="-120"/>
              <a:ea typeface="微軟正黑體 Light" panose="020B0304030504040204" pitchFamily="34" charset="-120"/>
              <a:cs typeface="+mn-cs"/>
            </a:rPr>
            <a:t> (8</a:t>
          </a:r>
          <a:r>
            <a:rPr lang="zh-TW" altLang="zh-TW" sz="1200">
              <a:solidFill>
                <a:schemeClr val="dk1"/>
              </a:solidFill>
              <a:effectLst/>
              <a:latin typeface="微軟正黑體 Light" panose="020B0304030504040204" pitchFamily="34" charset="-120"/>
              <a:ea typeface="微軟正黑體 Light" panose="020B0304030504040204" pitchFamily="34" charset="-120"/>
              <a:cs typeface="+mn-cs"/>
            </a:rPr>
            <a:t>碼</a:t>
          </a:r>
          <a:r>
            <a:rPr lang="en-US" altLang="zh-TW" sz="1200">
              <a:solidFill>
                <a:schemeClr val="dk1"/>
              </a:solidFill>
              <a:effectLst/>
              <a:latin typeface="微軟正黑體 Light" panose="020B0304030504040204" pitchFamily="34" charset="-120"/>
              <a:ea typeface="微軟正黑體 Light" panose="020B0304030504040204" pitchFamily="34" charset="-120"/>
              <a:cs typeface="+mn-cs"/>
            </a:rPr>
            <a:t>,</a:t>
          </a:r>
          <a:r>
            <a:rPr lang="zh-TW" altLang="zh-TW" sz="1200">
              <a:solidFill>
                <a:schemeClr val="dk1"/>
              </a:solidFill>
              <a:effectLst/>
              <a:latin typeface="微軟正黑體 Light" panose="020B0304030504040204" pitchFamily="34" charset="-120"/>
              <a:ea typeface="微軟正黑體 Light" panose="020B0304030504040204" pitchFamily="34" charset="-120"/>
              <a:cs typeface="+mn-cs"/>
            </a:rPr>
            <a:t>不滿則前面補</a:t>
          </a:r>
          <a:r>
            <a:rPr lang="en-US" altLang="zh-TW" sz="1200">
              <a:solidFill>
                <a:schemeClr val="dk1"/>
              </a:solidFill>
              <a:effectLst/>
              <a:latin typeface="微軟正黑體 Light" panose="020B0304030504040204" pitchFamily="34" charset="-120"/>
              <a:ea typeface="微軟正黑體 Light" panose="020B0304030504040204" pitchFamily="34" charset="-120"/>
              <a:cs typeface="+mn-cs"/>
            </a:rPr>
            <a:t>0)</a:t>
          </a:r>
          <a:endParaRPr lang="zh-TW" altLang="zh-TW" sz="1200">
            <a:effectLst/>
            <a:latin typeface="微軟正黑體 Light" panose="020B0304030504040204" pitchFamily="34" charset="-120"/>
            <a:ea typeface="微軟正黑體 Light" panose="020B0304030504040204" pitchFamily="34" charset="-120"/>
          </a:endParaRPr>
        </a:p>
        <a:p>
          <a:r>
            <a:rPr lang="zh-TW" altLang="zh-TW" sz="1200">
              <a:solidFill>
                <a:schemeClr val="dk1"/>
              </a:solidFill>
              <a:effectLst/>
              <a:latin typeface="微軟正黑體 Light" panose="020B0304030504040204" pitchFamily="34" charset="-120"/>
              <a:ea typeface="微軟正黑體 Light" panose="020B0304030504040204" pitchFamily="34" charset="-120"/>
              <a:cs typeface="+mn-cs"/>
            </a:rPr>
            <a:t>刷卡日</a:t>
          </a:r>
          <a:r>
            <a:rPr lang="en-US" altLang="zh-TW" sz="1200">
              <a:solidFill>
                <a:schemeClr val="dk1"/>
              </a:solidFill>
              <a:effectLst/>
              <a:latin typeface="微軟正黑體 Light" panose="020B0304030504040204" pitchFamily="34" charset="-120"/>
              <a:ea typeface="微軟正黑體 Light" panose="020B0304030504040204" pitchFamily="34" charset="-120"/>
              <a:cs typeface="+mn-cs"/>
            </a:rPr>
            <a:t>(YYYYMMDD)</a:t>
          </a:r>
          <a:endParaRPr lang="zh-TW" altLang="zh-TW" sz="1200">
            <a:effectLst/>
            <a:latin typeface="微軟正黑體 Light" panose="020B0304030504040204" pitchFamily="34" charset="-120"/>
            <a:ea typeface="微軟正黑體 Light" panose="020B0304030504040204" pitchFamily="34" charset="-120"/>
          </a:endParaRPr>
        </a:p>
        <a:p>
          <a:r>
            <a:rPr lang="zh-TW" altLang="zh-TW" sz="1200">
              <a:solidFill>
                <a:schemeClr val="dk1"/>
              </a:solidFill>
              <a:effectLst/>
              <a:latin typeface="微軟正黑體 Light" panose="020B0304030504040204" pitchFamily="34" charset="-120"/>
              <a:ea typeface="微軟正黑體 Light" panose="020B0304030504040204" pitchFamily="34" charset="-120"/>
              <a:cs typeface="+mn-cs"/>
            </a:rPr>
            <a:t>刷卡時間</a:t>
          </a:r>
          <a:r>
            <a:rPr lang="en-US" altLang="zh-TW" sz="1200">
              <a:solidFill>
                <a:schemeClr val="dk1"/>
              </a:solidFill>
              <a:effectLst/>
              <a:latin typeface="微軟正黑體 Light" panose="020B0304030504040204" pitchFamily="34" charset="-120"/>
              <a:ea typeface="微軟正黑體 Light" panose="020B0304030504040204" pitchFamily="34" charset="-120"/>
              <a:cs typeface="+mn-cs"/>
            </a:rPr>
            <a:t>(HHMMSS)</a:t>
          </a:r>
          <a:endParaRPr lang="zh-TW" altLang="zh-TW" sz="1200">
            <a:effectLst/>
            <a:latin typeface="微軟正黑體 Light" panose="020B0304030504040204" pitchFamily="34" charset="-120"/>
            <a:ea typeface="微軟正黑體 Light" panose="020B0304030504040204" pitchFamily="34" charset="-120"/>
          </a:endParaRPr>
        </a:p>
        <a:p>
          <a:r>
            <a:rPr lang="zh-TW" altLang="zh-TW" sz="1200">
              <a:solidFill>
                <a:schemeClr val="dk1"/>
              </a:solidFill>
              <a:effectLst/>
              <a:latin typeface="微軟正黑體 Light" panose="020B0304030504040204" pitchFamily="34" charset="-120"/>
              <a:ea typeface="微軟正黑體 Light" panose="020B0304030504040204" pitchFamily="34" charset="-120"/>
              <a:cs typeface="+mn-cs"/>
            </a:rPr>
            <a:t>刷卡時間</a:t>
          </a:r>
          <a:r>
            <a:rPr lang="en-US" altLang="zh-TW" sz="1200">
              <a:solidFill>
                <a:schemeClr val="dk1"/>
              </a:solidFill>
              <a:effectLst/>
              <a:latin typeface="微軟正黑體 Light" panose="020B0304030504040204" pitchFamily="34" charset="-120"/>
              <a:ea typeface="微軟正黑體 Light" panose="020B0304030504040204" pitchFamily="34" charset="-120"/>
              <a:cs typeface="+mn-cs"/>
            </a:rPr>
            <a:t>SS</a:t>
          </a:r>
          <a:r>
            <a:rPr lang="zh-TW" altLang="zh-TW" sz="1200">
              <a:solidFill>
                <a:schemeClr val="dk1"/>
              </a:solidFill>
              <a:effectLst/>
              <a:latin typeface="微軟正黑體 Light" panose="020B0304030504040204" pitchFamily="34" charset="-120"/>
              <a:ea typeface="微軟正黑體 Light" panose="020B0304030504040204" pitchFamily="34" charset="-120"/>
              <a:cs typeface="+mn-cs"/>
            </a:rPr>
            <a:t>都歸</a:t>
          </a:r>
          <a:r>
            <a:rPr lang="en-US" altLang="zh-TW" sz="1200">
              <a:solidFill>
                <a:schemeClr val="dk1"/>
              </a:solidFill>
              <a:effectLst/>
              <a:latin typeface="微軟正黑體 Light" panose="020B0304030504040204" pitchFamily="34" charset="-120"/>
              <a:ea typeface="微軟正黑體 Light" panose="020B0304030504040204" pitchFamily="34" charset="-120"/>
              <a:cs typeface="+mn-cs"/>
            </a:rPr>
            <a:t>0</a:t>
          </a:r>
          <a:endParaRPr lang="zh-TW" altLang="zh-TW" sz="1200">
            <a:effectLst/>
            <a:latin typeface="微軟正黑體 Light" panose="020B0304030504040204" pitchFamily="34" charset="-120"/>
            <a:ea typeface="微軟正黑體 Light" panose="020B0304030504040204" pitchFamily="34" charset="-120"/>
          </a:endParaRPr>
        </a:p>
        <a:p>
          <a:r>
            <a:rPr lang="zh-TW" altLang="zh-TW" sz="1200">
              <a:solidFill>
                <a:schemeClr val="dk1"/>
              </a:solidFill>
              <a:effectLst/>
              <a:latin typeface="微軟正黑體 Light" panose="020B0304030504040204" pitchFamily="34" charset="-120"/>
              <a:ea typeface="微軟正黑體 Light" panose="020B0304030504040204" pitchFamily="34" charset="-120"/>
              <a:cs typeface="+mn-cs"/>
            </a:rPr>
            <a:t>有排序（先</a:t>
          </a:r>
          <a:r>
            <a:rPr lang="en-US" altLang="zh-TW" sz="1200">
              <a:solidFill>
                <a:schemeClr val="dk1"/>
              </a:solidFill>
              <a:effectLst/>
              <a:latin typeface="微軟正黑體 Light" panose="020B0304030504040204" pitchFamily="34" charset="-120"/>
              <a:ea typeface="微軟正黑體 Light" panose="020B0304030504040204" pitchFamily="34" charset="-120"/>
              <a:cs typeface="+mn-cs"/>
            </a:rPr>
            <a:t>8</a:t>
          </a:r>
          <a:r>
            <a:rPr lang="zh-TW" altLang="zh-TW" sz="1200">
              <a:solidFill>
                <a:schemeClr val="dk1"/>
              </a:solidFill>
              <a:effectLst/>
              <a:latin typeface="微軟正黑體 Light" panose="020B0304030504040204" pitchFamily="34" charset="-120"/>
              <a:ea typeface="微軟正黑體 Light" panose="020B0304030504040204" pitchFamily="34" charset="-120"/>
              <a:cs typeface="+mn-cs"/>
            </a:rPr>
            <a:t>碼員編資料再</a:t>
          </a:r>
          <a:r>
            <a:rPr lang="en-US" altLang="zh-TW" sz="1200">
              <a:solidFill>
                <a:schemeClr val="dk1"/>
              </a:solidFill>
              <a:effectLst/>
              <a:latin typeface="微軟正黑體 Light" panose="020B0304030504040204" pitchFamily="34" charset="-120"/>
              <a:ea typeface="微軟正黑體 Light" panose="020B0304030504040204" pitchFamily="34" charset="-120"/>
              <a:cs typeface="+mn-cs"/>
            </a:rPr>
            <a:t>4</a:t>
          </a:r>
          <a:r>
            <a:rPr lang="zh-TW" altLang="zh-TW" sz="1200">
              <a:solidFill>
                <a:schemeClr val="dk1"/>
              </a:solidFill>
              <a:effectLst/>
              <a:latin typeface="微軟正黑體 Light" panose="020B0304030504040204" pitchFamily="34" charset="-120"/>
              <a:ea typeface="微軟正黑體 Light" panose="020B0304030504040204" pitchFamily="34" charset="-120"/>
              <a:cs typeface="+mn-cs"/>
            </a:rPr>
            <a:t>碼資料，</a:t>
          </a:r>
          <a:r>
            <a:rPr lang="en-US" altLang="zh-TW" sz="1200">
              <a:solidFill>
                <a:schemeClr val="dk1"/>
              </a:solidFill>
              <a:effectLst/>
              <a:latin typeface="微軟正黑體 Light" panose="020B0304030504040204" pitchFamily="34" charset="-120"/>
              <a:ea typeface="微軟正黑體 Light" panose="020B0304030504040204" pitchFamily="34" charset="-120"/>
              <a:cs typeface="+mn-cs"/>
            </a:rPr>
            <a:t>4</a:t>
          </a:r>
          <a:r>
            <a:rPr lang="zh-TW" altLang="zh-TW" sz="1200">
              <a:solidFill>
                <a:schemeClr val="dk1"/>
              </a:solidFill>
              <a:effectLst/>
              <a:latin typeface="微軟正黑體 Light" panose="020B0304030504040204" pitchFamily="34" charset="-120"/>
              <a:ea typeface="微軟正黑體 Light" panose="020B0304030504040204" pitchFamily="34" charset="-120"/>
              <a:cs typeface="+mn-cs"/>
            </a:rPr>
            <a:t>碼資料前補</a:t>
          </a:r>
          <a:r>
            <a:rPr lang="en-US" altLang="zh-TW" sz="1200">
              <a:solidFill>
                <a:schemeClr val="dk1"/>
              </a:solidFill>
              <a:effectLst/>
              <a:latin typeface="微軟正黑體 Light" panose="020B0304030504040204" pitchFamily="34" charset="-120"/>
              <a:ea typeface="微軟正黑體 Light" panose="020B0304030504040204" pitchFamily="34" charset="-120"/>
              <a:cs typeface="+mn-cs"/>
            </a:rPr>
            <a:t>0</a:t>
          </a:r>
          <a:r>
            <a:rPr lang="zh-TW" altLang="zh-TW" sz="1200">
              <a:solidFill>
                <a:schemeClr val="dk1"/>
              </a:solidFill>
              <a:effectLst/>
              <a:latin typeface="微軟正黑體 Light" panose="020B0304030504040204" pitchFamily="34" charset="-120"/>
              <a:ea typeface="微軟正黑體 Light" panose="020B0304030504040204" pitchFamily="34" charset="-120"/>
              <a:cs typeface="+mn-cs"/>
            </a:rPr>
            <a:t>）員編</a:t>
          </a:r>
          <a:r>
            <a:rPr lang="en-US" altLang="zh-TW" sz="1200">
              <a:solidFill>
                <a:schemeClr val="dk1"/>
              </a:solidFill>
              <a:effectLst/>
              <a:latin typeface="微軟正黑體 Light" panose="020B0304030504040204" pitchFamily="34" charset="-120"/>
              <a:ea typeface="微軟正黑體 Light" panose="020B0304030504040204" pitchFamily="34" charset="-120"/>
              <a:cs typeface="+mn-cs"/>
            </a:rPr>
            <a:t>+</a:t>
          </a:r>
          <a:r>
            <a:rPr lang="zh-TW" altLang="zh-TW" sz="1200">
              <a:solidFill>
                <a:schemeClr val="dk1"/>
              </a:solidFill>
              <a:effectLst/>
              <a:latin typeface="微軟正黑體 Light" panose="020B0304030504040204" pitchFamily="34" charset="-120"/>
              <a:ea typeface="微軟正黑體 Light" panose="020B0304030504040204" pitchFamily="34" charset="-120"/>
              <a:cs typeface="+mn-cs"/>
            </a:rPr>
            <a:t>刷卡日</a:t>
          </a:r>
          <a:r>
            <a:rPr lang="en-US" altLang="zh-TW" sz="1200">
              <a:solidFill>
                <a:schemeClr val="dk1"/>
              </a:solidFill>
              <a:effectLst/>
              <a:latin typeface="微軟正黑體 Light" panose="020B0304030504040204" pitchFamily="34" charset="-120"/>
              <a:ea typeface="微軟正黑體 Light" panose="020B0304030504040204" pitchFamily="34" charset="-120"/>
              <a:cs typeface="+mn-cs"/>
            </a:rPr>
            <a:t>+</a:t>
          </a:r>
          <a:r>
            <a:rPr lang="zh-TW" altLang="zh-TW" sz="1200">
              <a:solidFill>
                <a:schemeClr val="dk1"/>
              </a:solidFill>
              <a:effectLst/>
              <a:latin typeface="微軟正黑體 Light" panose="020B0304030504040204" pitchFamily="34" charset="-120"/>
              <a:ea typeface="微軟正黑體 Light" panose="020B0304030504040204" pitchFamily="34" charset="-120"/>
              <a:cs typeface="+mn-cs"/>
            </a:rPr>
            <a:t>刷卡時間</a:t>
          </a:r>
          <a:endParaRPr lang="zh-TW" altLang="zh-TW" sz="1200">
            <a:effectLst/>
            <a:latin typeface="微軟正黑體 Light" panose="020B0304030504040204" pitchFamily="34" charset="-120"/>
            <a:ea typeface="微軟正黑體 Light" panose="020B0304030504040204" pitchFamily="34" charset="-120"/>
          </a:endParaRPr>
        </a:p>
        <a:p>
          <a:r>
            <a:rPr lang="zh-TW" altLang="zh-TW" sz="1200">
              <a:solidFill>
                <a:schemeClr val="dk1"/>
              </a:solidFill>
              <a:effectLst/>
              <a:latin typeface="微軟正黑體 Light" panose="020B0304030504040204" pitchFamily="34" charset="-120"/>
              <a:ea typeface="微軟正黑體 Light" panose="020B0304030504040204" pitchFamily="34" charset="-120"/>
              <a:cs typeface="+mn-cs"/>
            </a:rPr>
            <a:t>卡鐘系統提供每日首末筆刷卡資料</a:t>
          </a:r>
          <a:endParaRPr lang="zh-TW" altLang="zh-TW" sz="1200">
            <a:effectLst/>
            <a:latin typeface="微軟正黑體 Light" panose="020B0304030504040204" pitchFamily="34" charset="-120"/>
            <a:ea typeface="微軟正黑體 Light" panose="020B0304030504040204" pitchFamily="34" charset="-120"/>
          </a:endParaRPr>
        </a:p>
        <a:p>
          <a:endParaRPr lang="en-US" altLang="zh-TW" sz="1200">
            <a:solidFill>
              <a:schemeClr val="dk1"/>
            </a:solidFill>
            <a:effectLst/>
            <a:latin typeface="微軟正黑體 Light" panose="020B0304030504040204" pitchFamily="34" charset="-120"/>
            <a:ea typeface="微軟正黑體 Light" panose="020B0304030504040204" pitchFamily="34" charset="-120"/>
            <a:cs typeface="+mn-cs"/>
          </a:endParaRPr>
        </a:p>
        <a:p>
          <a:r>
            <a:rPr lang="en-US" altLang="zh-TW" sz="1200">
              <a:solidFill>
                <a:schemeClr val="dk1"/>
              </a:solidFill>
              <a:effectLst/>
              <a:latin typeface="微軟正黑體 Light" panose="020B0304030504040204" pitchFamily="34" charset="-120"/>
              <a:ea typeface="微軟正黑體 Light" panose="020B0304030504040204" pitchFamily="34" charset="-120"/>
              <a:cs typeface="+mn-cs"/>
            </a:rPr>
            <a:t>【</a:t>
          </a:r>
          <a:r>
            <a:rPr lang="zh-TW" altLang="en-US" sz="1200">
              <a:solidFill>
                <a:schemeClr val="dk1"/>
              </a:solidFill>
              <a:effectLst/>
              <a:latin typeface="微軟正黑體 Light" panose="020B0304030504040204" pitchFamily="34" charset="-120"/>
              <a:ea typeface="微軟正黑體 Light" panose="020B0304030504040204" pitchFamily="34" charset="-120"/>
              <a:cs typeface="+mn-cs"/>
            </a:rPr>
            <a:t>總部</a:t>
          </a:r>
          <a:r>
            <a:rPr lang="en-US" altLang="zh-TW" sz="1200">
              <a:solidFill>
                <a:schemeClr val="dk1"/>
              </a:solidFill>
              <a:effectLst/>
              <a:latin typeface="微軟正黑體 Light" panose="020B0304030504040204" pitchFamily="34" charset="-120"/>
              <a:ea typeface="微軟正黑體 Light" panose="020B0304030504040204" pitchFamily="34" charset="-120"/>
              <a:cs typeface="+mn-cs"/>
            </a:rPr>
            <a:t>】</a:t>
          </a:r>
        </a:p>
        <a:p>
          <a:pPr lvl="0"/>
          <a:r>
            <a:rPr lang="zh-TW" altLang="zh-TW" sz="1200">
              <a:solidFill>
                <a:schemeClr val="dk1"/>
              </a:solidFill>
              <a:effectLst/>
              <a:latin typeface="微軟正黑體 Light" panose="020B0304030504040204" pitchFamily="34" charset="-120"/>
              <a:ea typeface="微軟正黑體 Light" panose="020B0304030504040204" pitchFamily="34" charset="-120"/>
              <a:cs typeface="+mn-cs"/>
            </a:rPr>
            <a:t>刷卡檔檔名為</a:t>
          </a:r>
          <a:r>
            <a:rPr lang="en-US" altLang="zh-TW" sz="1200">
              <a:solidFill>
                <a:schemeClr val="dk1"/>
              </a:solidFill>
              <a:effectLst/>
              <a:latin typeface="微軟正黑體 Light" panose="020B0304030504040204" pitchFamily="34" charset="-120"/>
              <a:ea typeface="微軟正黑體 Light" panose="020B0304030504040204" pitchFamily="34" charset="-120"/>
              <a:cs typeface="+mn-cs"/>
            </a:rPr>
            <a:t>:YYYYMMDD.txt</a:t>
          </a:r>
          <a:r>
            <a:rPr lang="zh-TW" altLang="zh-TW" sz="1200">
              <a:solidFill>
                <a:schemeClr val="dk1"/>
              </a:solidFill>
              <a:effectLst/>
              <a:latin typeface="微軟正黑體 Light" panose="020B0304030504040204" pitchFamily="34" charset="-120"/>
              <a:ea typeface="微軟正黑體 Light" panose="020B0304030504040204" pitchFamily="34" charset="-120"/>
              <a:cs typeface="+mn-cs"/>
            </a:rPr>
            <a:t>。</a:t>
          </a:r>
          <a:r>
            <a:rPr lang="en-US" altLang="zh-TW" sz="1200">
              <a:solidFill>
                <a:schemeClr val="dk1"/>
              </a:solidFill>
              <a:effectLst/>
              <a:latin typeface="微軟正黑體 Light" panose="020B0304030504040204" pitchFamily="34" charset="-120"/>
              <a:ea typeface="微軟正黑體 Light" panose="020B0304030504040204" pitchFamily="34" charset="-120"/>
              <a:cs typeface="+mn-cs"/>
            </a:rPr>
            <a:t>(</a:t>
          </a:r>
          <a:r>
            <a:rPr lang="zh-TW" altLang="zh-TW" sz="1200">
              <a:solidFill>
                <a:schemeClr val="dk1"/>
              </a:solidFill>
              <a:effectLst/>
              <a:latin typeface="微軟正黑體 Light" panose="020B0304030504040204" pitchFamily="34" charset="-120"/>
              <a:ea typeface="微軟正黑體 Light" panose="020B0304030504040204" pitchFamily="34" charset="-120"/>
              <a:cs typeface="+mn-cs"/>
            </a:rPr>
            <a:t>檔名為刷卡日</a:t>
          </a:r>
          <a:r>
            <a:rPr lang="en-US" altLang="zh-TW" sz="1200">
              <a:solidFill>
                <a:schemeClr val="dk1"/>
              </a:solidFill>
              <a:effectLst/>
              <a:latin typeface="微軟正黑體 Light" panose="020B0304030504040204" pitchFamily="34" charset="-120"/>
              <a:ea typeface="微軟正黑體 Light" panose="020B0304030504040204" pitchFamily="34" charset="-120"/>
              <a:cs typeface="+mn-cs"/>
            </a:rPr>
            <a:t>)</a:t>
          </a:r>
          <a:endParaRPr lang="zh-TW" altLang="zh-TW" sz="1200">
            <a:solidFill>
              <a:schemeClr val="dk1"/>
            </a:solidFill>
            <a:effectLst/>
            <a:latin typeface="微軟正黑體 Light" panose="020B0304030504040204" pitchFamily="34" charset="-120"/>
            <a:ea typeface="微軟正黑體 Light" panose="020B0304030504040204" pitchFamily="34" charset="-120"/>
            <a:cs typeface="+mn-cs"/>
          </a:endParaRPr>
        </a:p>
        <a:p>
          <a:r>
            <a:rPr lang="zh-TW" altLang="en-US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每個檔案包含三天內的刷卡資料</a:t>
          </a:r>
          <a:endParaRPr lang="en-US" altLang="zh-TW" sz="1100">
            <a:latin typeface="微軟正黑體 Light" panose="020B0304030504040204" pitchFamily="34" charset="-120"/>
            <a:ea typeface="微軟正黑體 Light" panose="020B0304030504040204" pitchFamily="34" charset="-12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【</a:t>
          </a:r>
          <a:r>
            <a:rPr lang="zh-TW" altLang="zh-TW" sz="1200">
              <a:solidFill>
                <a:schemeClr val="dk1"/>
              </a:solidFill>
              <a:effectLst/>
              <a:latin typeface="微軟正黑體 Light" panose="020B0304030504040204" pitchFamily="34" charset="-120"/>
              <a:ea typeface="微軟正黑體 Light" panose="020B0304030504040204" pitchFamily="34" charset="-120"/>
              <a:cs typeface="+mn-cs"/>
            </a:rPr>
            <a:t>內湖</a:t>
          </a:r>
          <a:r>
            <a:rPr lang="en-US" altLang="zh-TW" sz="1200">
              <a:solidFill>
                <a:schemeClr val="dk1"/>
              </a:solidFill>
              <a:effectLst/>
              <a:latin typeface="微軟正黑體 Light" panose="020B0304030504040204" pitchFamily="34" charset="-120"/>
              <a:ea typeface="微軟正黑體 Light" panose="020B0304030504040204" pitchFamily="34" charset="-120"/>
              <a:cs typeface="+mn-cs"/>
            </a:rPr>
            <a:t>-NH</a:t>
          </a:r>
          <a:r>
            <a:rPr lang="en-US" altLang="zh-TW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】</a:t>
          </a:r>
          <a:endParaRPr lang="zh-TW" altLang="zh-TW" sz="1200">
            <a:effectLst/>
            <a:latin typeface="微軟正黑體 Light" panose="020B0304030504040204" pitchFamily="34" charset="-120"/>
            <a:ea typeface="微軟正黑體 Light" panose="020B0304030504040204" pitchFamily="34" charset="-12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zh-TW" sz="1200">
              <a:solidFill>
                <a:schemeClr val="dk1"/>
              </a:solidFill>
              <a:effectLst/>
              <a:latin typeface="微軟正黑體 Light" panose="020B0304030504040204" pitchFamily="34" charset="-120"/>
              <a:ea typeface="微軟正黑體 Light" panose="020B0304030504040204" pitchFamily="34" charset="-120"/>
              <a:cs typeface="+mn-cs"/>
            </a:rPr>
            <a:t>刷卡檔檔名為</a:t>
          </a:r>
          <a:r>
            <a:rPr lang="en-US" altLang="zh-TW" sz="1200">
              <a:solidFill>
                <a:schemeClr val="dk1"/>
              </a:solidFill>
              <a:effectLst/>
              <a:latin typeface="微軟正黑體 Light" panose="020B0304030504040204" pitchFamily="34" charset="-120"/>
              <a:ea typeface="微軟正黑體 Light" panose="020B0304030504040204" pitchFamily="34" charset="-120"/>
              <a:cs typeface="+mn-cs"/>
            </a:rPr>
            <a:t>:YYYYMMDD.txt</a:t>
          </a:r>
          <a:r>
            <a:rPr lang="zh-TW" altLang="zh-TW" sz="1200">
              <a:solidFill>
                <a:schemeClr val="dk1"/>
              </a:solidFill>
              <a:effectLst/>
              <a:latin typeface="微軟正黑體 Light" panose="020B0304030504040204" pitchFamily="34" charset="-120"/>
              <a:ea typeface="微軟正黑體 Light" panose="020B0304030504040204" pitchFamily="34" charset="-120"/>
              <a:cs typeface="+mn-cs"/>
            </a:rPr>
            <a:t>。</a:t>
          </a:r>
          <a:r>
            <a:rPr lang="en-US" altLang="zh-TW" sz="1200">
              <a:solidFill>
                <a:schemeClr val="dk1"/>
              </a:solidFill>
              <a:effectLst/>
              <a:latin typeface="微軟正黑體 Light" panose="020B0304030504040204" pitchFamily="34" charset="-120"/>
              <a:ea typeface="微軟正黑體 Light" panose="020B0304030504040204" pitchFamily="34" charset="-120"/>
              <a:cs typeface="+mn-cs"/>
            </a:rPr>
            <a:t>(</a:t>
          </a:r>
          <a:r>
            <a:rPr lang="zh-TW" altLang="zh-TW" sz="1200">
              <a:solidFill>
                <a:schemeClr val="dk1"/>
              </a:solidFill>
              <a:effectLst/>
              <a:latin typeface="微軟正黑體 Light" panose="020B0304030504040204" pitchFamily="34" charset="-120"/>
              <a:ea typeface="微軟正黑體 Light" panose="020B0304030504040204" pitchFamily="34" charset="-120"/>
              <a:cs typeface="+mn-cs"/>
            </a:rPr>
            <a:t>檔名為刷卡日</a:t>
          </a:r>
          <a:r>
            <a:rPr lang="en-US" altLang="zh-TW" sz="1200">
              <a:solidFill>
                <a:schemeClr val="dk1"/>
              </a:solidFill>
              <a:effectLst/>
              <a:latin typeface="微軟正黑體 Light" panose="020B0304030504040204" pitchFamily="34" charset="-120"/>
              <a:ea typeface="微軟正黑體 Light" panose="020B0304030504040204" pitchFamily="34" charset="-120"/>
              <a:cs typeface="+mn-cs"/>
            </a:rPr>
            <a:t>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sz="1200">
              <a:solidFill>
                <a:schemeClr val="dk1"/>
              </a:solidFill>
              <a:effectLst/>
              <a:latin typeface="微軟正黑體 Light" panose="020B0304030504040204" pitchFamily="34" charset="-120"/>
              <a:ea typeface="微軟正黑體 Light" panose="020B0304030504040204" pitchFamily="34" charset="-120"/>
              <a:cs typeface="+mn-cs"/>
            </a:rPr>
            <a:t>每個檔案只會有前一天刷卡記錄</a:t>
          </a:r>
          <a:endParaRPr lang="en-US" altLang="zh-TW" sz="1200">
            <a:solidFill>
              <a:schemeClr val="dk1"/>
            </a:solidFill>
            <a:effectLst/>
            <a:latin typeface="微軟正黑體 Light" panose="020B0304030504040204" pitchFamily="34" charset="-120"/>
            <a:ea typeface="微軟正黑體 Light" panose="020B0304030504040204" pitchFamily="34" charset="-120"/>
            <a:cs typeface="+mn-cs"/>
          </a:endParaRPr>
        </a:p>
        <a:p>
          <a:pPr eaLnBrk="1" fontAlgn="auto" latinLnBrk="0" hangingPunct="1"/>
          <a:r>
            <a:rPr lang="en-US" altLang="zh-TW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【</a:t>
          </a:r>
          <a:r>
            <a:rPr lang="zh-TW" altLang="zh-TW" sz="1200">
              <a:solidFill>
                <a:schemeClr val="dk1"/>
              </a:solidFill>
              <a:effectLst/>
              <a:latin typeface="微軟正黑體 Light" panose="020B0304030504040204" pitchFamily="34" charset="-120"/>
              <a:ea typeface="微軟正黑體 Light" panose="020B0304030504040204" pitchFamily="34" charset="-120"/>
              <a:cs typeface="+mn-cs"/>
            </a:rPr>
            <a:t>中壢</a:t>
          </a:r>
          <a:r>
            <a:rPr lang="en-US" altLang="zh-TW" sz="1200">
              <a:solidFill>
                <a:schemeClr val="dk1"/>
              </a:solidFill>
              <a:effectLst/>
              <a:latin typeface="微軟正黑體 Light" panose="020B0304030504040204" pitchFamily="34" charset="-120"/>
              <a:ea typeface="微軟正黑體 Light" panose="020B0304030504040204" pitchFamily="34" charset="-120"/>
              <a:cs typeface="+mn-cs"/>
            </a:rPr>
            <a:t>-CL</a:t>
          </a:r>
          <a:r>
            <a:rPr lang="en-US" altLang="zh-TW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】</a:t>
          </a:r>
          <a:endParaRPr lang="zh-TW" altLang="zh-TW" sz="1200">
            <a:effectLst/>
          </a:endParaRPr>
        </a:p>
        <a:p>
          <a:pPr eaLnBrk="1" fontAlgn="auto" latinLnBrk="0" hangingPunct="1"/>
          <a:r>
            <a:rPr lang="zh-TW" altLang="zh-TW" sz="1200">
              <a:solidFill>
                <a:schemeClr val="dk1"/>
              </a:solidFill>
              <a:effectLst/>
              <a:latin typeface="微軟正黑體 Light" panose="020B0304030504040204" pitchFamily="34" charset="-120"/>
              <a:ea typeface="微軟正黑體 Light" panose="020B0304030504040204" pitchFamily="34" charset="-120"/>
              <a:cs typeface="+mn-cs"/>
            </a:rPr>
            <a:t>刷卡檔檔名為</a:t>
          </a:r>
          <a:r>
            <a:rPr lang="en-US" altLang="zh-TW" sz="1200">
              <a:solidFill>
                <a:schemeClr val="dk1"/>
              </a:solidFill>
              <a:effectLst/>
              <a:latin typeface="微軟正黑體 Light" panose="020B0304030504040204" pitchFamily="34" charset="-120"/>
              <a:ea typeface="微軟正黑體 Light" panose="020B0304030504040204" pitchFamily="34" charset="-120"/>
              <a:cs typeface="+mn-cs"/>
            </a:rPr>
            <a:t>:YYYYMMDD.txt</a:t>
          </a:r>
          <a:r>
            <a:rPr lang="zh-TW" altLang="zh-TW" sz="1200">
              <a:solidFill>
                <a:schemeClr val="dk1"/>
              </a:solidFill>
              <a:effectLst/>
              <a:latin typeface="微軟正黑體 Light" panose="020B0304030504040204" pitchFamily="34" charset="-120"/>
              <a:ea typeface="微軟正黑體 Light" panose="020B0304030504040204" pitchFamily="34" charset="-120"/>
              <a:cs typeface="+mn-cs"/>
            </a:rPr>
            <a:t>。</a:t>
          </a:r>
          <a:r>
            <a:rPr lang="en-US" altLang="zh-TW" sz="1200">
              <a:solidFill>
                <a:schemeClr val="dk1"/>
              </a:solidFill>
              <a:effectLst/>
              <a:latin typeface="微軟正黑體 Light" panose="020B0304030504040204" pitchFamily="34" charset="-120"/>
              <a:ea typeface="微軟正黑體 Light" panose="020B0304030504040204" pitchFamily="34" charset="-120"/>
              <a:cs typeface="+mn-cs"/>
            </a:rPr>
            <a:t>(</a:t>
          </a:r>
          <a:r>
            <a:rPr lang="zh-TW" altLang="zh-TW" sz="1200">
              <a:solidFill>
                <a:schemeClr val="dk1"/>
              </a:solidFill>
              <a:effectLst/>
              <a:latin typeface="微軟正黑體 Light" panose="020B0304030504040204" pitchFamily="34" charset="-120"/>
              <a:ea typeface="微軟正黑體 Light" panose="020B0304030504040204" pitchFamily="34" charset="-120"/>
              <a:cs typeface="+mn-cs"/>
            </a:rPr>
            <a:t>檔名為刷卡日</a:t>
          </a:r>
          <a:r>
            <a:rPr lang="en-US" altLang="zh-TW" sz="1200">
              <a:solidFill>
                <a:schemeClr val="dk1"/>
              </a:solidFill>
              <a:effectLst/>
              <a:latin typeface="微軟正黑體 Light" panose="020B0304030504040204" pitchFamily="34" charset="-120"/>
              <a:ea typeface="微軟正黑體 Light" panose="020B0304030504040204" pitchFamily="34" charset="-120"/>
              <a:cs typeface="+mn-cs"/>
            </a:rPr>
            <a:t>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zh-TW" sz="1200">
              <a:solidFill>
                <a:schemeClr val="dk1"/>
              </a:solidFill>
              <a:effectLst/>
              <a:latin typeface="微軟正黑體 Light" panose="020B0304030504040204" pitchFamily="34" charset="-120"/>
              <a:ea typeface="微軟正黑體 Light" panose="020B0304030504040204" pitchFamily="34" charset="-120"/>
              <a:cs typeface="+mn-cs"/>
            </a:rPr>
            <a:t>每個檔案只會有前一天刷卡記錄</a:t>
          </a:r>
          <a:endParaRPr lang="zh-TW" altLang="zh-TW" sz="1200">
            <a:effectLst/>
            <a:latin typeface="微軟正黑體 Light" panose="020B0304030504040204" pitchFamily="34" charset="-120"/>
            <a:ea typeface="微軟正黑體 Light" panose="020B0304030504040204" pitchFamily="34" charset="-120"/>
          </a:endParaRPr>
        </a:p>
        <a:p>
          <a:pPr eaLnBrk="1" fontAlgn="auto" latinLnBrk="0" hangingPunct="1"/>
          <a:endParaRPr lang="zh-TW" altLang="zh-TW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zh-TW" altLang="zh-TW" sz="1200">
            <a:effectLst/>
            <a:latin typeface="微軟正黑體 Light" panose="020B0304030504040204" pitchFamily="34" charset="-120"/>
            <a:ea typeface="微軟正黑體 Light" panose="020B0304030504040204" pitchFamily="34" charset="-120"/>
          </a:endParaRPr>
        </a:p>
        <a:p>
          <a:endParaRPr lang="zh-TW" altLang="en-US" sz="1200">
            <a:latin typeface="微軟正黑體 Light" panose="020B0304030504040204" pitchFamily="34" charset="-120"/>
            <a:ea typeface="微軟正黑體 Light" panose="020B0304030504040204" pitchFamily="34" charset="-12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381000</xdr:colOff>
      <xdr:row>2</xdr:row>
      <xdr:rowOff>114299</xdr:rowOff>
    </xdr:from>
    <xdr:to>
      <xdr:col>17</xdr:col>
      <xdr:colOff>400050</xdr:colOff>
      <xdr:row>18</xdr:row>
      <xdr:rowOff>47625</xdr:rowOff>
    </xdr:to>
    <xdr:sp macro="" textlink="">
      <xdr:nvSpPr>
        <xdr:cNvPr id="2" name="文字方塊 1">
          <a:extLst>
            <a:ext uri="{FF2B5EF4-FFF2-40B4-BE49-F238E27FC236}">
              <a16:creationId xmlns:a16="http://schemas.microsoft.com/office/drawing/2014/main" id="{35204FC2-BC83-2FB2-8DC6-84E7D6258C07}"/>
            </a:ext>
          </a:extLst>
        </xdr:cNvPr>
        <xdr:cNvSpPr txBox="1"/>
      </xdr:nvSpPr>
      <xdr:spPr>
        <a:xfrm>
          <a:off x="1600200" y="552449"/>
          <a:ext cx="9163050" cy="34385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1200" b="0" i="0" u="none" strike="noStrike" baseline="0">
              <a:solidFill>
                <a:schemeClr val="dk1"/>
              </a:solidFill>
              <a:latin typeface="微軟正黑體 Light" panose="020B0304030504040204" pitchFamily="34" charset="-120"/>
              <a:ea typeface="微軟正黑體 Light" panose="020B0304030504040204" pitchFamily="34" charset="-120"/>
              <a:cs typeface="+mn-cs"/>
            </a:rPr>
            <a:t>加密：</a:t>
          </a:r>
          <a:r>
            <a:rPr lang="en-US" altLang="zh-TW" sz="1200" b="0" i="0" u="none" strike="noStrike" baseline="0">
              <a:solidFill>
                <a:schemeClr val="dk1"/>
              </a:solidFill>
              <a:latin typeface="微軟正黑體 Light" panose="020B0304030504040204" pitchFamily="34" charset="-120"/>
              <a:ea typeface="微軟正黑體 Light" panose="020B0304030504040204" pitchFamily="34" charset="-120"/>
              <a:cs typeface="+mn-cs"/>
            </a:rPr>
            <a:t>utf16</a:t>
          </a:r>
        </a:p>
        <a:p>
          <a:r>
            <a:rPr lang="zh-TW" altLang="en-US" sz="1200" b="0" i="0" u="none" strike="noStrike" baseline="0">
              <a:solidFill>
                <a:schemeClr val="dk1"/>
              </a:solidFill>
              <a:latin typeface="微軟正黑體 Light" panose="020B0304030504040204" pitchFamily="34" charset="-120"/>
              <a:ea typeface="微軟正黑體 Light" panose="020B0304030504040204" pitchFamily="34" charset="-120"/>
              <a:cs typeface="+mn-cs"/>
            </a:rPr>
            <a:t>檔名：</a:t>
          </a:r>
          <a:r>
            <a:rPr lang="en-US" altLang="zh-TW" sz="1200" b="0" i="0" u="none" strike="noStrike" baseline="0">
              <a:solidFill>
                <a:schemeClr val="dk1"/>
              </a:solidFill>
              <a:latin typeface="微軟正黑體 Light" panose="020B0304030504040204" pitchFamily="34" charset="-120"/>
              <a:ea typeface="微軟正黑體 Light" panose="020B0304030504040204" pitchFamily="34" charset="-120"/>
              <a:cs typeface="+mn-cs"/>
            </a:rPr>
            <a:t>MMddHHmmss.tar</a:t>
          </a:r>
        </a:p>
        <a:p>
          <a:r>
            <a:rPr lang="zh-TW" altLang="en-US" sz="1200" b="0" i="0" u="none" strike="noStrike" baseline="0">
              <a:solidFill>
                <a:schemeClr val="dk1"/>
              </a:solidFill>
              <a:latin typeface="微軟正黑體 Light" panose="020B0304030504040204" pitchFamily="34" charset="-120"/>
              <a:ea typeface="微軟正黑體 Light" panose="020B0304030504040204" pitchFamily="34" charset="-120"/>
              <a:cs typeface="+mn-cs"/>
            </a:rPr>
            <a:t>介面格式： </a:t>
          </a:r>
        </a:p>
        <a:p>
          <a:endParaRPr lang="zh-TW" altLang="en-US" sz="1100" b="0" i="0" u="none" strike="noStrike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zh-TW" sz="1100" b="0" i="0" u="none" strike="noStrike" baseline="0">
              <a:solidFill>
                <a:schemeClr val="dk1"/>
              </a:solidFill>
              <a:latin typeface="微軟正黑體 Light" panose="020B0304030504040204" pitchFamily="34" charset="-120"/>
              <a:ea typeface="微軟正黑體 Light" panose="020B0304030504040204" pitchFamily="34" charset="-120"/>
              <a:cs typeface="+mn-cs"/>
            </a:rPr>
            <a:t>NO 	</a:t>
          </a:r>
          <a:r>
            <a:rPr lang="zh-TW" altLang="en-US" sz="1100" b="0" i="0" u="none" strike="noStrike" baseline="0">
              <a:solidFill>
                <a:schemeClr val="dk1"/>
              </a:solidFill>
              <a:latin typeface="微軟正黑體 Light" panose="020B0304030504040204" pitchFamily="34" charset="-120"/>
              <a:ea typeface="微軟正黑體 Light" panose="020B0304030504040204" pitchFamily="34" charset="-120"/>
              <a:cs typeface="+mn-cs"/>
            </a:rPr>
            <a:t>欄位說明 	欄位代碼 	</a:t>
          </a:r>
          <a:r>
            <a:rPr lang="en-US" altLang="zh-TW" sz="1100" b="0" i="0" u="none" strike="noStrike" baseline="0">
              <a:solidFill>
                <a:schemeClr val="dk1"/>
              </a:solidFill>
              <a:latin typeface="微軟正黑體 Light" panose="020B0304030504040204" pitchFamily="34" charset="-120"/>
              <a:ea typeface="微軟正黑體 Light" panose="020B0304030504040204" pitchFamily="34" charset="-120"/>
              <a:cs typeface="+mn-cs"/>
            </a:rPr>
            <a:t>DATA</a:t>
          </a:r>
          <a:r>
            <a:rPr lang="zh-TW" altLang="en-US" sz="1100" b="0" i="0" u="none" strike="noStrike" baseline="0">
              <a:solidFill>
                <a:schemeClr val="dk1"/>
              </a:solidFill>
              <a:latin typeface="微軟正黑體 Light" panose="020B0304030504040204" pitchFamily="34" charset="-120"/>
              <a:ea typeface="微軟正黑體 Light" panose="020B0304030504040204" pitchFamily="34" charset="-120"/>
              <a:cs typeface="+mn-cs"/>
            </a:rPr>
            <a:t>型 	配列 	</a:t>
          </a:r>
          <a:r>
            <a:rPr lang="en-US" altLang="zh-TW" sz="1100" b="0" i="0" u="none" strike="noStrike" baseline="0">
              <a:solidFill>
                <a:schemeClr val="dk1"/>
              </a:solidFill>
              <a:latin typeface="微軟正黑體 Light" panose="020B0304030504040204" pitchFamily="34" charset="-120"/>
              <a:ea typeface="微軟正黑體 Light" panose="020B0304030504040204" pitchFamily="34" charset="-120"/>
              <a:cs typeface="+mn-cs"/>
            </a:rPr>
            <a:t>BYTE 	</a:t>
          </a:r>
          <a:r>
            <a:rPr lang="zh-TW" altLang="en-US" sz="1100" b="0" i="0" u="none" strike="noStrike" baseline="0">
              <a:solidFill>
                <a:schemeClr val="dk1"/>
              </a:solidFill>
              <a:latin typeface="微軟正黑體 Light" panose="020B0304030504040204" pitchFamily="34" charset="-120"/>
              <a:ea typeface="微軟正黑體 Light" panose="020B0304030504040204" pitchFamily="34" charset="-120"/>
              <a:cs typeface="+mn-cs"/>
            </a:rPr>
            <a:t>說明 	</a:t>
          </a:r>
        </a:p>
        <a:p>
          <a:r>
            <a:rPr lang="en-US" altLang="zh-TW" sz="1100" b="0" i="0" u="none" strike="noStrike" baseline="0">
              <a:solidFill>
                <a:schemeClr val="dk1"/>
              </a:solidFill>
              <a:latin typeface="微軟正黑體 Light" panose="020B0304030504040204" pitchFamily="34" charset="-120"/>
              <a:ea typeface="微軟正黑體 Light" panose="020B0304030504040204" pitchFamily="34" charset="-120"/>
              <a:cs typeface="+mn-cs"/>
            </a:rPr>
            <a:t>1 	</a:t>
          </a:r>
          <a:r>
            <a:rPr lang="zh-TW" altLang="en-US" sz="1100" b="0" i="0" u="none" strike="noStrike" baseline="0">
              <a:solidFill>
                <a:schemeClr val="dk1"/>
              </a:solidFill>
              <a:latin typeface="微軟正黑體 Light" panose="020B0304030504040204" pitchFamily="34" charset="-120"/>
              <a:ea typeface="微軟正黑體 Light" panose="020B0304030504040204" pitchFamily="34" charset="-120"/>
              <a:cs typeface="+mn-cs"/>
            </a:rPr>
            <a:t>員工號碼 	</a:t>
          </a:r>
          <a:r>
            <a:rPr lang="en-US" altLang="zh-TW" sz="1100" b="0" i="0" u="none" strike="noStrike" baseline="0">
              <a:solidFill>
                <a:schemeClr val="dk1"/>
              </a:solidFill>
              <a:latin typeface="微軟正黑體 Light" panose="020B0304030504040204" pitchFamily="34" charset="-120"/>
              <a:ea typeface="微軟正黑體 Light" panose="020B0304030504040204" pitchFamily="34" charset="-120"/>
              <a:cs typeface="+mn-cs"/>
            </a:rPr>
            <a:t>Wrkr_No 	char 	8 	1 	</a:t>
          </a:r>
        </a:p>
        <a:p>
          <a:r>
            <a:rPr lang="en-US" altLang="zh-TW" sz="1100" b="0" i="0" u="none" strike="noStrike" baseline="0">
              <a:solidFill>
                <a:schemeClr val="dk1"/>
              </a:solidFill>
              <a:latin typeface="微軟正黑體 Light" panose="020B0304030504040204" pitchFamily="34" charset="-120"/>
              <a:ea typeface="微軟正黑體 Light" panose="020B0304030504040204" pitchFamily="34" charset="-120"/>
              <a:cs typeface="+mn-cs"/>
            </a:rPr>
            <a:t>2 	</a:t>
          </a:r>
          <a:r>
            <a:rPr lang="zh-TW" altLang="en-US" sz="1100" b="0" i="0" u="none" strike="noStrike" baseline="0">
              <a:solidFill>
                <a:schemeClr val="dk1"/>
              </a:solidFill>
              <a:latin typeface="微軟正黑體 Light" panose="020B0304030504040204" pitchFamily="34" charset="-120"/>
              <a:ea typeface="微軟正黑體 Light" panose="020B0304030504040204" pitchFamily="34" charset="-120"/>
              <a:cs typeface="+mn-cs"/>
            </a:rPr>
            <a:t>簽到日期 	</a:t>
          </a:r>
          <a:r>
            <a:rPr lang="en-US" altLang="zh-TW" sz="1100" b="0" i="0" u="none" strike="noStrike" baseline="0">
              <a:solidFill>
                <a:schemeClr val="dk1"/>
              </a:solidFill>
              <a:latin typeface="微軟正黑體 Light" panose="020B0304030504040204" pitchFamily="34" charset="-120"/>
              <a:ea typeface="微軟正黑體 Light" panose="020B0304030504040204" pitchFamily="34" charset="-120"/>
              <a:cs typeface="+mn-cs"/>
            </a:rPr>
            <a:t>Clock_In_Date 	char 	8 	1 	yyyyMMdd 	</a:t>
          </a:r>
        </a:p>
        <a:p>
          <a:r>
            <a:rPr lang="en-US" altLang="zh-TW" sz="1100" b="0" i="0" u="none" strike="noStrike" baseline="0">
              <a:solidFill>
                <a:schemeClr val="dk1"/>
              </a:solidFill>
              <a:latin typeface="微軟正黑體 Light" panose="020B0304030504040204" pitchFamily="34" charset="-120"/>
              <a:ea typeface="微軟正黑體 Light" panose="020B0304030504040204" pitchFamily="34" charset="-120"/>
              <a:cs typeface="+mn-cs"/>
            </a:rPr>
            <a:t>3 	</a:t>
          </a:r>
          <a:r>
            <a:rPr lang="zh-TW" altLang="en-US" sz="1100" b="0" i="0" u="none" strike="noStrike" baseline="0">
              <a:solidFill>
                <a:schemeClr val="dk1"/>
              </a:solidFill>
              <a:latin typeface="微軟正黑體 Light" panose="020B0304030504040204" pitchFamily="34" charset="-120"/>
              <a:ea typeface="微軟正黑體 Light" panose="020B0304030504040204" pitchFamily="34" charset="-120"/>
              <a:cs typeface="+mn-cs"/>
            </a:rPr>
            <a:t>店號 	</a:t>
          </a:r>
          <a:r>
            <a:rPr lang="en-US" altLang="zh-TW" sz="1100" b="0" i="0" u="none" strike="noStrike" baseline="0">
              <a:solidFill>
                <a:schemeClr val="dk1"/>
              </a:solidFill>
              <a:latin typeface="微軟正黑體 Light" panose="020B0304030504040204" pitchFamily="34" charset="-120"/>
              <a:ea typeface="微軟正黑體 Light" panose="020B0304030504040204" pitchFamily="34" charset="-120"/>
              <a:cs typeface="+mn-cs"/>
            </a:rPr>
            <a:t>Shop_CD 	char 	6 	1 	</a:t>
          </a:r>
        </a:p>
        <a:p>
          <a:r>
            <a:rPr lang="en-US" altLang="zh-TW" sz="1100" b="0" i="0" u="none" strike="noStrike" baseline="0">
              <a:solidFill>
                <a:schemeClr val="dk1"/>
              </a:solidFill>
              <a:latin typeface="微軟正黑體 Light" panose="020B0304030504040204" pitchFamily="34" charset="-120"/>
              <a:ea typeface="微軟正黑體 Light" panose="020B0304030504040204" pitchFamily="34" charset="-120"/>
              <a:cs typeface="+mn-cs"/>
            </a:rPr>
            <a:t>4 	</a:t>
          </a:r>
          <a:r>
            <a:rPr lang="zh-TW" altLang="en-US" sz="1100" b="0" i="0" u="none" strike="noStrike" baseline="0">
              <a:solidFill>
                <a:schemeClr val="dk1"/>
              </a:solidFill>
              <a:latin typeface="微軟正黑體 Light" panose="020B0304030504040204" pitchFamily="34" charset="-120"/>
              <a:ea typeface="微軟正黑體 Light" panose="020B0304030504040204" pitchFamily="34" charset="-120"/>
              <a:cs typeface="+mn-cs"/>
            </a:rPr>
            <a:t>簽到時間 	</a:t>
          </a:r>
          <a:r>
            <a:rPr lang="en-US" altLang="zh-TW" sz="1100" b="0" i="0" u="none" strike="noStrike" baseline="0">
              <a:solidFill>
                <a:schemeClr val="dk1"/>
              </a:solidFill>
              <a:latin typeface="微軟正黑體 Light" panose="020B0304030504040204" pitchFamily="34" charset="-120"/>
              <a:ea typeface="微軟正黑體 Light" panose="020B0304030504040204" pitchFamily="34" charset="-120"/>
              <a:cs typeface="+mn-cs"/>
            </a:rPr>
            <a:t>Clock_In_Time 	char 	6 	1 	hhmmss 	</a:t>
          </a:r>
        </a:p>
        <a:p>
          <a:r>
            <a:rPr lang="en-US" altLang="zh-TW" sz="1100" b="0" i="0" u="none" strike="noStrike" baseline="0">
              <a:solidFill>
                <a:schemeClr val="dk1"/>
              </a:solidFill>
              <a:latin typeface="微軟正黑體 Light" panose="020B0304030504040204" pitchFamily="34" charset="-120"/>
              <a:ea typeface="微軟正黑體 Light" panose="020B0304030504040204" pitchFamily="34" charset="-120"/>
              <a:cs typeface="+mn-cs"/>
            </a:rPr>
            <a:t>5 	</a:t>
          </a:r>
          <a:r>
            <a:rPr lang="zh-TW" altLang="en-US" sz="1100" b="0" i="0" u="none" strike="noStrike" baseline="0">
              <a:solidFill>
                <a:schemeClr val="dk1"/>
              </a:solidFill>
              <a:latin typeface="微軟正黑體 Light" panose="020B0304030504040204" pitchFamily="34" charset="-120"/>
              <a:ea typeface="微軟正黑體 Light" panose="020B0304030504040204" pitchFamily="34" charset="-120"/>
              <a:cs typeface="+mn-cs"/>
            </a:rPr>
            <a:t>簽退時間 	</a:t>
          </a:r>
          <a:r>
            <a:rPr lang="en-US" altLang="zh-TW" sz="1100" b="0" i="0" u="none" strike="noStrike" baseline="0">
              <a:solidFill>
                <a:schemeClr val="dk1"/>
              </a:solidFill>
              <a:latin typeface="微軟正黑體 Light" panose="020B0304030504040204" pitchFamily="34" charset="-120"/>
              <a:ea typeface="微軟正黑體 Light" panose="020B0304030504040204" pitchFamily="34" charset="-120"/>
              <a:cs typeface="+mn-cs"/>
            </a:rPr>
            <a:t>Clock_Out_Time 	char 	6 	1 	hhmmss 	</a:t>
          </a:r>
        </a:p>
        <a:p>
          <a:r>
            <a:rPr lang="en-US" altLang="zh-TW" sz="1100" b="0" i="0" u="none" strike="noStrike" baseline="0">
              <a:solidFill>
                <a:schemeClr val="dk1"/>
              </a:solidFill>
              <a:latin typeface="微軟正黑體 Light" panose="020B0304030504040204" pitchFamily="34" charset="-120"/>
              <a:ea typeface="微軟正黑體 Light" panose="020B0304030504040204" pitchFamily="34" charset="-120"/>
              <a:cs typeface="+mn-cs"/>
            </a:rPr>
            <a:t>6 	</a:t>
          </a:r>
          <a:r>
            <a:rPr lang="zh-TW" altLang="en-US" sz="1100" b="0" i="0" u="none" strike="noStrike" baseline="0">
              <a:solidFill>
                <a:schemeClr val="dk1"/>
              </a:solidFill>
              <a:latin typeface="微軟正黑體 Light" panose="020B0304030504040204" pitchFamily="34" charset="-120"/>
              <a:ea typeface="微軟正黑體 Light" panose="020B0304030504040204" pitchFamily="34" charset="-120"/>
              <a:cs typeface="+mn-cs"/>
            </a:rPr>
            <a:t>員工識別 	</a:t>
          </a:r>
          <a:r>
            <a:rPr lang="en-US" altLang="zh-TW" sz="1100" b="0" i="0" u="none" strike="noStrike" baseline="0">
              <a:solidFill>
                <a:schemeClr val="dk1"/>
              </a:solidFill>
              <a:latin typeface="微軟正黑體 Light" panose="020B0304030504040204" pitchFamily="34" charset="-120"/>
              <a:ea typeface="微軟正黑體 Light" panose="020B0304030504040204" pitchFamily="34" charset="-120"/>
              <a:cs typeface="+mn-cs"/>
            </a:rPr>
            <a:t>Wrkr_Dscrm 	char 	1 	1 	0</a:t>
          </a:r>
          <a:r>
            <a:rPr lang="zh-TW" altLang="en-US" sz="1100" b="0" i="0" u="none" strike="noStrike" baseline="0">
              <a:solidFill>
                <a:schemeClr val="dk1"/>
              </a:solidFill>
              <a:latin typeface="微軟正黑體 Light" panose="020B0304030504040204" pitchFamily="34" charset="-120"/>
              <a:ea typeface="微軟正黑體 Light" panose="020B0304030504040204" pitchFamily="34" charset="-120"/>
              <a:cs typeface="+mn-cs"/>
            </a:rPr>
            <a:t>：月薪制員工 </a:t>
          </a:r>
          <a:r>
            <a:rPr lang="en-US" altLang="zh-TW" sz="1100" b="0" i="0" u="none" strike="noStrike" baseline="0">
              <a:solidFill>
                <a:schemeClr val="dk1"/>
              </a:solidFill>
              <a:latin typeface="微軟正黑體 Light" panose="020B0304030504040204" pitchFamily="34" charset="-120"/>
              <a:ea typeface="微軟正黑體 Light" panose="020B0304030504040204" pitchFamily="34" charset="-120"/>
              <a:cs typeface="+mn-cs"/>
            </a:rPr>
            <a:t>1</a:t>
          </a:r>
          <a:r>
            <a:rPr lang="zh-TW" altLang="en-US" sz="1100" b="0" i="0" u="none" strike="noStrike" baseline="0">
              <a:solidFill>
                <a:schemeClr val="dk1"/>
              </a:solidFill>
              <a:latin typeface="微軟正黑體 Light" panose="020B0304030504040204" pitchFamily="34" charset="-120"/>
              <a:ea typeface="微軟正黑體 Light" panose="020B0304030504040204" pitchFamily="34" charset="-120"/>
              <a:cs typeface="+mn-cs"/>
            </a:rPr>
            <a:t>：時薪制員工 </a:t>
          </a:r>
          <a:r>
            <a:rPr lang="en-US" altLang="zh-TW" sz="1100" b="0" i="0" u="none" strike="noStrike" baseline="0">
              <a:solidFill>
                <a:schemeClr val="dk1"/>
              </a:solidFill>
              <a:latin typeface="微軟正黑體 Light" panose="020B0304030504040204" pitchFamily="34" charset="-120"/>
              <a:ea typeface="微軟正黑體 Light" panose="020B0304030504040204" pitchFamily="34" charset="-120"/>
              <a:cs typeface="+mn-cs"/>
            </a:rPr>
            <a:t>2</a:t>
          </a:r>
          <a:r>
            <a:rPr lang="zh-TW" altLang="en-US" sz="1100" b="0" i="0" u="none" strike="noStrike" baseline="0">
              <a:solidFill>
                <a:schemeClr val="dk1"/>
              </a:solidFill>
              <a:latin typeface="微軟正黑體 Light" panose="020B0304030504040204" pitchFamily="34" charset="-120"/>
              <a:ea typeface="微軟正黑體 Light" panose="020B0304030504040204" pitchFamily="34" charset="-120"/>
              <a:cs typeface="+mn-cs"/>
            </a:rPr>
            <a:t>：區經理 	</a:t>
          </a:r>
        </a:p>
        <a:p>
          <a:endParaRPr lang="zh-TW" altLang="en-US" sz="1100" b="0" i="0" u="none" strike="noStrike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sz="1200" b="0" i="0" u="none" strike="noStrike" baseline="0">
              <a:solidFill>
                <a:schemeClr val="dk1"/>
              </a:solidFill>
              <a:latin typeface="微軟正黑體 Light" panose="020B0304030504040204" pitchFamily="34" charset="-120"/>
              <a:ea typeface="微軟正黑體 Light" panose="020B0304030504040204" pitchFamily="34" charset="-120"/>
              <a:cs typeface="+mn-cs"/>
            </a:rPr>
            <a:t>範例 	</a:t>
          </a:r>
          <a:r>
            <a:rPr lang="en-US" altLang="zh-TW" sz="1200" b="0" i="0" u="none" strike="noStrike" baseline="0">
              <a:solidFill>
                <a:schemeClr val="dk1"/>
              </a:solidFill>
              <a:latin typeface="微軟正黑體 Light" panose="020B0304030504040204" pitchFamily="34" charset="-120"/>
              <a:ea typeface="微軟正黑體 Light" panose="020B0304030504040204" pitchFamily="34" charset="-120"/>
              <a:cs typeface="+mn-cs"/>
            </a:rPr>
            <a:t>12345678202402261234560858031705240 </a:t>
          </a:r>
          <a:r>
            <a:rPr lang="en-US" altLang="zh-TW" sz="11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	</a:t>
          </a:r>
        </a:p>
        <a:p>
          <a:endParaRPr lang="zh-TW" altLang="en-US" sz="1100" b="0" i="0" u="none" strike="noStrike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zh-TW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</xdr:colOff>
      <xdr:row>13</xdr:row>
      <xdr:rowOff>190500</xdr:rowOff>
    </xdr:from>
    <xdr:to>
      <xdr:col>14</xdr:col>
      <xdr:colOff>268605</xdr:colOff>
      <xdr:row>18</xdr:row>
      <xdr:rowOff>120015</xdr:rowOff>
    </xdr:to>
    <xdr:pic>
      <xdr:nvPicPr>
        <xdr:cNvPr id="2" name="圖片 1" descr="cid:image002.jpg@01D3D344.6BA1F790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49075" y="3409950"/>
          <a:ext cx="2697480" cy="10248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85725</xdr:colOff>
      <xdr:row>18</xdr:row>
      <xdr:rowOff>95250</xdr:rowOff>
    </xdr:from>
    <xdr:to>
      <xdr:col>14</xdr:col>
      <xdr:colOff>337185</xdr:colOff>
      <xdr:row>19</xdr:row>
      <xdr:rowOff>83820</xdr:rowOff>
    </xdr:to>
    <xdr:pic>
      <xdr:nvPicPr>
        <xdr:cNvPr id="3" name="圖片 4" descr="cid:image008.jpg@01D3D344.6BA1F790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25275" y="4410075"/>
          <a:ext cx="26898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66675</xdr:colOff>
      <xdr:row>19</xdr:row>
      <xdr:rowOff>38100</xdr:rowOff>
    </xdr:from>
    <xdr:to>
      <xdr:col>14</xdr:col>
      <xdr:colOff>340995</xdr:colOff>
      <xdr:row>20</xdr:row>
      <xdr:rowOff>53340</xdr:rowOff>
    </xdr:to>
    <xdr:pic>
      <xdr:nvPicPr>
        <xdr:cNvPr id="4" name="圖片 2" descr="cid:image009.jpg@01D3D344.6BA1F790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06225" y="4562475"/>
          <a:ext cx="2712720" cy="2247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35718</xdr:colOff>
      <xdr:row>20</xdr:row>
      <xdr:rowOff>54769</xdr:rowOff>
    </xdr:from>
    <xdr:to>
      <xdr:col>14</xdr:col>
      <xdr:colOff>291623</xdr:colOff>
      <xdr:row>26</xdr:row>
      <xdr:rowOff>66834</xdr:rowOff>
    </xdr:to>
    <xdr:pic>
      <xdr:nvPicPr>
        <xdr:cNvPr id="5" name="圖片 3" descr="cid:image010.jpg@01D3D344.6BA1F790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94343" y="4722019"/>
          <a:ext cx="2684780" cy="12622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171450</xdr:colOff>
      <xdr:row>13</xdr:row>
      <xdr:rowOff>180975</xdr:rowOff>
    </xdr:from>
    <xdr:to>
      <xdr:col>9</xdr:col>
      <xdr:colOff>135255</xdr:colOff>
      <xdr:row>17</xdr:row>
      <xdr:rowOff>66040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39325" y="3400425"/>
          <a:ext cx="1325880" cy="7677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390525</xdr:colOff>
      <xdr:row>26</xdr:row>
      <xdr:rowOff>122238</xdr:rowOff>
    </xdr:from>
    <xdr:to>
      <xdr:col>4</xdr:col>
      <xdr:colOff>631031</xdr:colOff>
      <xdr:row>68</xdr:row>
      <xdr:rowOff>178594</xdr:rowOff>
    </xdr:to>
    <xdr:sp macro="" textlink="">
      <xdr:nvSpPr>
        <xdr:cNvPr id="7" name="文字方塊 6">
          <a:extLst>
            <a:ext uri="{FF2B5EF4-FFF2-40B4-BE49-F238E27FC236}">
              <a16:creationId xmlns:a16="http://schemas.microsoft.com/office/drawing/2014/main" id="{7CCFD872-D5D2-73D8-0F95-D800D598577B}"/>
            </a:ext>
          </a:extLst>
        </xdr:cNvPr>
        <xdr:cNvSpPr txBox="1"/>
      </xdr:nvSpPr>
      <xdr:spPr>
        <a:xfrm>
          <a:off x="390525" y="6039644"/>
          <a:ext cx="7455694" cy="90455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加班會依不同時間會有不同的計算費率 所以要依加班認列日為加班起始日</a:t>
          </a:r>
        </a:p>
        <a:p>
          <a:r>
            <a:rPr lang="en-US" altLang="zh-TW" sz="1100">
              <a:solidFill>
                <a:schemeClr val="dk1"/>
              </a:solidFill>
              <a:effectLst/>
              <a:latin typeface="微軟正黑體 Light" panose="020B0304030504040204" pitchFamily="34" charset="-120"/>
              <a:ea typeface="微軟正黑體 Light" panose="020B0304030504040204" pitchFamily="34" charset="-120"/>
              <a:cs typeface="+mn-cs"/>
            </a:rPr>
            <a:t>*</a:t>
          </a:r>
          <a:r>
            <a:rPr lang="zh-TW" altLang="en-US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若遇跨日班別則須為上班日</a:t>
          </a:r>
          <a:endParaRPr lang="en-US" altLang="zh-TW" sz="1100">
            <a:latin typeface="微軟正黑體 Light" panose="020B0304030504040204" pitchFamily="34" charset="-120"/>
            <a:ea typeface="微軟正黑體 Light" panose="020B0304030504040204" pitchFamily="34" charset="-120"/>
          </a:endParaRPr>
        </a:p>
        <a:p>
          <a:r>
            <a:rPr lang="zh-TW" altLang="en-US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津貼類別為</a:t>
          </a:r>
          <a:r>
            <a:rPr lang="zh-TW" altLang="en-US" sz="1100" b="1" u="sng">
              <a:latin typeface="微軟正黑體 Light" panose="020B0304030504040204" pitchFamily="34" charset="-120"/>
              <a:ea typeface="微軟正黑體 Light" panose="020B0304030504040204" pitchFamily="34" charset="-120"/>
            </a:rPr>
            <a:t>轉加班費</a:t>
          </a:r>
          <a:r>
            <a:rPr lang="zh-TW" altLang="en-US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的話</a:t>
          </a:r>
          <a:r>
            <a:rPr lang="en-US" altLang="zh-TW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,</a:t>
          </a:r>
          <a:r>
            <a:rPr lang="zh-TW" altLang="en-US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其類型如下</a:t>
          </a:r>
          <a:endParaRPr lang="en-US" altLang="zh-TW" sz="1100">
            <a:latin typeface="微軟正黑體 Light" panose="020B0304030504040204" pitchFamily="34" charset="-120"/>
            <a:ea typeface="微軟正黑體 Light" panose="020B0304030504040204" pitchFamily="34" charset="-12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100">
              <a:solidFill>
                <a:schemeClr val="dk1"/>
              </a:solidFill>
              <a:effectLst/>
              <a:latin typeface="微軟正黑體 Light" panose="020B0304030504040204" pitchFamily="34" charset="-120"/>
              <a:ea typeface="微軟正黑體 Light" panose="020B0304030504040204" pitchFamily="34" charset="-120"/>
              <a:cs typeface="+mn-cs"/>
            </a:rPr>
            <a:t>*</a:t>
          </a:r>
          <a:r>
            <a:rPr lang="zh-TW" altLang="zh-TW" sz="1100">
              <a:solidFill>
                <a:schemeClr val="dk1"/>
              </a:solidFill>
              <a:effectLst/>
              <a:latin typeface="微軟正黑體 Light" panose="020B0304030504040204" pitchFamily="34" charset="-120"/>
              <a:ea typeface="微軟正黑體 Light" panose="020B0304030504040204" pitchFamily="34" charset="-120"/>
              <a:cs typeface="+mn-cs"/>
            </a:rPr>
            <a:t>國定假日加班不足</a:t>
          </a:r>
          <a:r>
            <a:rPr lang="en-US" altLang="zh-TW" sz="1100">
              <a:solidFill>
                <a:schemeClr val="dk1"/>
              </a:solidFill>
              <a:effectLst/>
              <a:latin typeface="微軟正黑體 Light" panose="020B0304030504040204" pitchFamily="34" charset="-120"/>
              <a:ea typeface="微軟正黑體 Light" panose="020B0304030504040204" pitchFamily="34" charset="-120"/>
              <a:cs typeface="+mn-cs"/>
            </a:rPr>
            <a:t>8</a:t>
          </a:r>
          <a:r>
            <a:rPr lang="zh-TW" altLang="zh-TW" sz="1100">
              <a:solidFill>
                <a:schemeClr val="dk1"/>
              </a:solidFill>
              <a:effectLst/>
              <a:latin typeface="微軟正黑體 Light" panose="020B0304030504040204" pitchFamily="34" charset="-120"/>
              <a:ea typeface="微軟正黑體 Light" panose="020B0304030504040204" pitchFamily="34" charset="-120"/>
              <a:cs typeface="+mn-cs"/>
            </a:rPr>
            <a:t>小時</a:t>
          </a:r>
          <a:r>
            <a:rPr lang="en-US" altLang="zh-TW" sz="1100">
              <a:solidFill>
                <a:schemeClr val="dk1"/>
              </a:solidFill>
              <a:effectLst/>
              <a:latin typeface="微軟正黑體 Light" panose="020B0304030504040204" pitchFamily="34" charset="-120"/>
              <a:ea typeface="微軟正黑體 Light" panose="020B0304030504040204" pitchFamily="34" charset="-120"/>
              <a:cs typeface="+mn-cs"/>
            </a:rPr>
            <a:t>, </a:t>
          </a:r>
          <a:r>
            <a:rPr lang="zh-TW" altLang="zh-TW" sz="1100">
              <a:solidFill>
                <a:schemeClr val="dk1"/>
              </a:solidFill>
              <a:effectLst/>
              <a:latin typeface="微軟正黑體 Light" panose="020B0304030504040204" pitchFamily="34" charset="-120"/>
              <a:ea typeface="微軟正黑體 Light" panose="020B0304030504040204" pitchFamily="34" charset="-120"/>
              <a:cs typeface="+mn-cs"/>
            </a:rPr>
            <a:t>轉薪時需認</a:t>
          </a:r>
          <a:r>
            <a:rPr lang="en-US" altLang="zh-TW" sz="1100">
              <a:solidFill>
                <a:schemeClr val="dk1"/>
              </a:solidFill>
              <a:effectLst/>
              <a:latin typeface="微軟正黑體 Light" panose="020B0304030504040204" pitchFamily="34" charset="-120"/>
              <a:ea typeface="微軟正黑體 Light" panose="020B0304030504040204" pitchFamily="34" charset="-120"/>
              <a:cs typeface="+mn-cs"/>
            </a:rPr>
            <a:t>8</a:t>
          </a:r>
          <a:r>
            <a:rPr lang="zh-TW" altLang="zh-TW" sz="1100">
              <a:solidFill>
                <a:schemeClr val="dk1"/>
              </a:solidFill>
              <a:effectLst/>
              <a:latin typeface="微軟正黑體 Light" panose="020B0304030504040204" pitchFamily="34" charset="-120"/>
              <a:ea typeface="微軟正黑體 Light" panose="020B0304030504040204" pitchFamily="34" charset="-120"/>
              <a:cs typeface="+mn-cs"/>
            </a:rPr>
            <a:t>小時</a:t>
          </a:r>
          <a:r>
            <a:rPr lang="en-US" altLang="zh-TW" sz="1100">
              <a:solidFill>
                <a:schemeClr val="dk1"/>
              </a:solidFill>
              <a:effectLst/>
              <a:latin typeface="微軟正黑體 Light" panose="020B0304030504040204" pitchFamily="34" charset="-120"/>
              <a:ea typeface="微軟正黑體 Light" panose="020B0304030504040204" pitchFamily="34" charset="-120"/>
              <a:cs typeface="+mn-cs"/>
            </a:rPr>
            <a:t>, </a:t>
          </a:r>
          <a:r>
            <a:rPr lang="zh-TW" altLang="zh-TW" sz="1100">
              <a:solidFill>
                <a:schemeClr val="dk1"/>
              </a:solidFill>
              <a:effectLst/>
              <a:latin typeface="微軟正黑體 Light" panose="020B0304030504040204" pitchFamily="34" charset="-120"/>
              <a:ea typeface="微軟正黑體 Light" panose="020B0304030504040204" pitchFamily="34" charset="-120"/>
              <a:cs typeface="+mn-cs"/>
            </a:rPr>
            <a:t>不足部份請假</a:t>
          </a:r>
          <a:endParaRPr lang="en-US" altLang="zh-TW" sz="1100">
            <a:solidFill>
              <a:schemeClr val="dk1"/>
            </a:solidFill>
            <a:effectLst/>
            <a:latin typeface="微軟正黑體 Light" panose="020B0304030504040204" pitchFamily="34" charset="-120"/>
            <a:ea typeface="微軟正黑體 Light" panose="020B0304030504040204" pitchFamily="34" charset="-120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*PT</a:t>
          </a:r>
          <a:r>
            <a:rPr lang="zh-TW" altLang="en-US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國定假日加班依實際工時轉薪</a:t>
          </a:r>
          <a:r>
            <a:rPr lang="en-US" altLang="zh-TW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, </a:t>
          </a:r>
          <a:r>
            <a:rPr lang="zh-TW" altLang="en-US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不需請假</a:t>
          </a:r>
          <a:r>
            <a:rPr lang="en-US" altLang="zh-TW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, </a:t>
          </a:r>
          <a:r>
            <a:rPr lang="zh-TW" altLang="en-US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不可轉假</a:t>
          </a:r>
        </a:p>
        <a:p>
          <a:r>
            <a:rPr lang="zh-TW" altLang="en-US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工資類型原則：平常日加班前</a:t>
          </a:r>
          <a:r>
            <a:rPr lang="en-US" altLang="zh-TW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2</a:t>
          </a:r>
          <a:r>
            <a:rPr lang="zh-TW" altLang="en-US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小時時數，工資類型代碼：</a:t>
          </a:r>
          <a:r>
            <a:rPr lang="en-US" altLang="zh-TW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1421 </a:t>
          </a:r>
        </a:p>
        <a:p>
          <a:r>
            <a:rPr lang="zh-TW" altLang="en-US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工資類型原則：平常日加班後</a:t>
          </a:r>
          <a:r>
            <a:rPr lang="en-US" altLang="zh-TW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2</a:t>
          </a:r>
          <a:r>
            <a:rPr lang="zh-TW" altLang="en-US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小時時數，工資類型代碼：</a:t>
          </a:r>
          <a:r>
            <a:rPr lang="en-US" altLang="zh-TW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1422 </a:t>
          </a:r>
        </a:p>
        <a:p>
          <a:r>
            <a:rPr lang="zh-TW" altLang="en-US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工資類型原則：國定假日加班</a:t>
          </a:r>
          <a:r>
            <a:rPr lang="en-US" altLang="zh-TW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(FT)</a:t>
          </a:r>
          <a:r>
            <a:rPr lang="zh-TW" altLang="en-US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，工資類型代碼：</a:t>
          </a:r>
          <a:r>
            <a:rPr lang="en-US" altLang="zh-TW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1425</a:t>
          </a:r>
        </a:p>
        <a:p>
          <a:r>
            <a:rPr lang="zh-TW" altLang="en-US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工資類型原則：國定假日加班超過</a:t>
          </a:r>
          <a:r>
            <a:rPr lang="en-US" altLang="zh-TW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8</a:t>
          </a:r>
          <a:r>
            <a:rPr lang="zh-TW" altLang="en-US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小時前</a:t>
          </a:r>
          <a:r>
            <a:rPr lang="en-US" altLang="zh-TW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2</a:t>
          </a:r>
          <a:r>
            <a:rPr lang="zh-TW" altLang="en-US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小時時數，工資類型代碼：</a:t>
          </a:r>
          <a:r>
            <a:rPr lang="en-US" altLang="zh-TW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1421</a:t>
          </a:r>
        </a:p>
        <a:p>
          <a:r>
            <a:rPr lang="zh-TW" altLang="en-US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工資類型原則：國定假日加班超過</a:t>
          </a:r>
          <a:r>
            <a:rPr lang="en-US" altLang="zh-TW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8</a:t>
          </a:r>
          <a:r>
            <a:rPr lang="zh-TW" altLang="en-US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小時後</a:t>
          </a:r>
          <a:r>
            <a:rPr lang="en-US" altLang="zh-TW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2</a:t>
          </a:r>
          <a:r>
            <a:rPr lang="zh-TW" altLang="en-US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小時時數，工資類型代碼：</a:t>
          </a:r>
          <a:r>
            <a:rPr lang="en-US" altLang="zh-TW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1422</a:t>
          </a:r>
        </a:p>
        <a:p>
          <a:r>
            <a:rPr lang="zh-TW" altLang="en-US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工資類型原則：國定假日加班</a:t>
          </a:r>
          <a:r>
            <a:rPr lang="en-US" altLang="zh-TW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(PT)</a:t>
          </a:r>
          <a:r>
            <a:rPr lang="zh-TW" altLang="en-US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，工資類型代碼：</a:t>
          </a:r>
          <a:r>
            <a:rPr lang="en-US" altLang="zh-TW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1478 </a:t>
          </a:r>
        </a:p>
        <a:p>
          <a:r>
            <a:rPr lang="zh-TW" altLang="en-US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工資類型原則：天災</a:t>
          </a:r>
          <a:r>
            <a:rPr lang="en-US" altLang="zh-TW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/</a:t>
          </a:r>
          <a:r>
            <a:rPr lang="zh-TW" altLang="en-US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選舉加班，工資類型代碼：</a:t>
          </a:r>
          <a:r>
            <a:rPr lang="en-US" altLang="zh-TW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1448</a:t>
          </a:r>
        </a:p>
        <a:p>
          <a:r>
            <a:rPr lang="zh-TW" altLang="en-US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工資類型原則：天災</a:t>
          </a:r>
          <a:r>
            <a:rPr lang="en-US" altLang="zh-TW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/</a:t>
          </a:r>
          <a:r>
            <a:rPr lang="zh-TW" altLang="en-US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選舉加班超過</a:t>
          </a:r>
          <a:r>
            <a:rPr lang="en-US" altLang="zh-TW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8</a:t>
          </a:r>
          <a:r>
            <a:rPr lang="zh-TW" altLang="en-US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小時前</a:t>
          </a:r>
          <a:r>
            <a:rPr lang="en-US" altLang="zh-TW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2</a:t>
          </a:r>
          <a:r>
            <a:rPr lang="zh-TW" altLang="en-US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小時時數，工資類型代碼：</a:t>
          </a:r>
          <a:r>
            <a:rPr lang="en-US" altLang="zh-TW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1421</a:t>
          </a:r>
        </a:p>
        <a:p>
          <a:r>
            <a:rPr lang="zh-TW" altLang="en-US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工資類型原則：天災</a:t>
          </a:r>
          <a:r>
            <a:rPr lang="en-US" altLang="zh-TW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/</a:t>
          </a:r>
          <a:r>
            <a:rPr lang="zh-TW" altLang="en-US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選舉加班超過</a:t>
          </a:r>
          <a:r>
            <a:rPr lang="en-US" altLang="zh-TW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8</a:t>
          </a:r>
          <a:r>
            <a:rPr lang="zh-TW" altLang="en-US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小時後</a:t>
          </a:r>
          <a:r>
            <a:rPr lang="en-US" altLang="zh-TW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2</a:t>
          </a:r>
          <a:r>
            <a:rPr lang="zh-TW" altLang="en-US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小時時數，工資類型代碼：</a:t>
          </a:r>
          <a:r>
            <a:rPr lang="en-US" altLang="zh-TW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1422</a:t>
          </a:r>
        </a:p>
        <a:p>
          <a:endParaRPr lang="en-US" altLang="zh-TW" sz="1100">
            <a:latin typeface="微軟正黑體 Light" panose="020B0304030504040204" pitchFamily="34" charset="-120"/>
            <a:ea typeface="微軟正黑體 Light" panose="020B0304030504040204" pitchFamily="34" charset="-120"/>
          </a:endParaRPr>
        </a:p>
        <a:p>
          <a:r>
            <a:rPr lang="zh-TW" altLang="en-US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工資類型原則：休息日加班前</a:t>
          </a:r>
          <a:r>
            <a:rPr lang="en-US" altLang="zh-TW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2</a:t>
          </a:r>
          <a:r>
            <a:rPr lang="zh-TW" altLang="en-US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小時加班，工資類型代碼：</a:t>
          </a:r>
          <a:r>
            <a:rPr lang="en-US" altLang="zh-TW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1470 </a:t>
          </a:r>
        </a:p>
        <a:p>
          <a:r>
            <a:rPr lang="zh-TW" altLang="en-US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工資類型原則：休息日加班第</a:t>
          </a:r>
          <a:r>
            <a:rPr lang="en-US" altLang="zh-TW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3~8</a:t>
          </a:r>
          <a:r>
            <a:rPr lang="zh-TW" altLang="en-US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小時加班，工資類型代碼：</a:t>
          </a:r>
          <a:r>
            <a:rPr lang="en-US" altLang="zh-TW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1471 </a:t>
          </a:r>
        </a:p>
        <a:p>
          <a:r>
            <a:rPr lang="zh-TW" altLang="en-US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工資類型原則：休息日加班第</a:t>
          </a:r>
          <a:r>
            <a:rPr lang="en-US" altLang="zh-TW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9</a:t>
          </a:r>
          <a:r>
            <a:rPr lang="zh-TW" altLang="en-US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小時加班，工資類型代碼：</a:t>
          </a:r>
          <a:r>
            <a:rPr lang="en-US" altLang="zh-TW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1472 </a:t>
          </a:r>
        </a:p>
        <a:p>
          <a:r>
            <a:rPr lang="zh-TW" altLang="en-US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工資類型原則：例假日加班前</a:t>
          </a:r>
          <a:r>
            <a:rPr lang="en-US" altLang="zh-TW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2</a:t>
          </a:r>
          <a:r>
            <a:rPr lang="zh-TW" altLang="en-US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小時加班，工資類型代碼：</a:t>
          </a:r>
          <a:r>
            <a:rPr lang="en-US" altLang="zh-TW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1480 </a:t>
          </a:r>
        </a:p>
        <a:p>
          <a:r>
            <a:rPr lang="zh-TW" altLang="en-US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工資類型原則：例假日加班第</a:t>
          </a:r>
          <a:r>
            <a:rPr lang="en-US" altLang="zh-TW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3~8</a:t>
          </a:r>
          <a:r>
            <a:rPr lang="zh-TW" altLang="en-US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小時加班，工資類型代碼：</a:t>
          </a:r>
          <a:r>
            <a:rPr lang="en-US" altLang="zh-TW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1481 </a:t>
          </a:r>
        </a:p>
        <a:p>
          <a:r>
            <a:rPr lang="zh-TW" altLang="en-US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工資類型原則：例假日加班第</a:t>
          </a:r>
          <a:r>
            <a:rPr lang="en-US" altLang="zh-TW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9</a:t>
          </a:r>
          <a:r>
            <a:rPr lang="zh-TW" altLang="en-US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小時加班，工資類型代碼：</a:t>
          </a:r>
          <a:r>
            <a:rPr lang="en-US" altLang="zh-TW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1482</a:t>
          </a:r>
        </a:p>
        <a:p>
          <a:endParaRPr lang="en-US" altLang="zh-TW" sz="1100">
            <a:latin typeface="微軟正黑體 Light" panose="020B0304030504040204" pitchFamily="34" charset="-120"/>
            <a:ea typeface="微軟正黑體 Light" panose="020B0304030504040204" pitchFamily="34" charset="-120"/>
          </a:endParaRPr>
        </a:p>
        <a:p>
          <a:r>
            <a:rPr lang="zh-TW" altLang="en-US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津貼類別為</a:t>
          </a:r>
          <a:r>
            <a:rPr lang="zh-TW" altLang="en-US" sz="1100" b="1" u="sng">
              <a:latin typeface="微軟正黑體 Light" panose="020B0304030504040204" pitchFamily="34" charset="-120"/>
              <a:ea typeface="微軟正黑體 Light" panose="020B0304030504040204" pitchFamily="34" charset="-120"/>
            </a:rPr>
            <a:t>轉代休假</a:t>
          </a:r>
          <a:r>
            <a:rPr lang="zh-TW" altLang="en-US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的話</a:t>
          </a:r>
          <a:r>
            <a:rPr lang="en-US" altLang="zh-TW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,</a:t>
          </a:r>
          <a:r>
            <a:rPr lang="zh-TW" altLang="en-US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其類型如下</a:t>
          </a:r>
        </a:p>
        <a:p>
          <a:r>
            <a:rPr lang="en-US" altLang="zh-TW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*</a:t>
          </a:r>
          <a:r>
            <a:rPr lang="zh-TW" altLang="en-US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轉假以實計加班工時認列</a:t>
          </a:r>
        </a:p>
        <a:p>
          <a:r>
            <a:rPr lang="zh-TW" altLang="en-US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工資類型原則：平常日加到前</a:t>
          </a:r>
          <a:r>
            <a:rPr lang="en-US" altLang="zh-TW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2</a:t>
          </a:r>
          <a:r>
            <a:rPr lang="zh-TW" altLang="en-US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小時，工資類型代碼：</a:t>
          </a:r>
          <a:r>
            <a:rPr lang="en-US" altLang="zh-TW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15</a:t>
          </a:r>
        </a:p>
        <a:p>
          <a:r>
            <a:rPr lang="zh-TW" altLang="en-US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工資類型原則：平常日加到後</a:t>
          </a:r>
          <a:r>
            <a:rPr lang="en-US" altLang="zh-TW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2</a:t>
          </a:r>
          <a:r>
            <a:rPr lang="zh-TW" altLang="en-US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小時，工資類型代碼：</a:t>
          </a:r>
          <a:r>
            <a:rPr lang="en-US" altLang="zh-TW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13</a:t>
          </a:r>
        </a:p>
        <a:p>
          <a:r>
            <a:rPr lang="zh-TW" altLang="en-US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工資類型原則：休息日加到前</a:t>
          </a:r>
          <a:r>
            <a:rPr lang="en-US" altLang="zh-TW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2</a:t>
          </a:r>
          <a:r>
            <a:rPr lang="zh-TW" altLang="en-US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小時，工資類型代碼：</a:t>
          </a:r>
          <a:r>
            <a:rPr lang="en-US" altLang="zh-TW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15</a:t>
          </a:r>
        </a:p>
        <a:p>
          <a:r>
            <a:rPr lang="zh-TW" altLang="en-US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工資類型原則：休息日加班</a:t>
          </a:r>
          <a:r>
            <a:rPr lang="en-US" altLang="zh-TW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3~8</a:t>
          </a:r>
          <a:r>
            <a:rPr lang="zh-TW" altLang="en-US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小時，工資類型代碼：</a:t>
          </a:r>
          <a:r>
            <a:rPr lang="en-US" altLang="zh-TW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13</a:t>
          </a:r>
        </a:p>
        <a:p>
          <a:r>
            <a:rPr lang="zh-TW" altLang="en-US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工資類型原則：休息日加班超過第</a:t>
          </a:r>
          <a:r>
            <a:rPr lang="en-US" altLang="zh-TW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8</a:t>
          </a:r>
          <a:r>
            <a:rPr lang="zh-TW" altLang="en-US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小時以後，工資類型代碼：</a:t>
          </a:r>
          <a:r>
            <a:rPr lang="en-US" altLang="zh-TW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14</a:t>
          </a:r>
        </a:p>
        <a:p>
          <a:r>
            <a:rPr lang="zh-TW" altLang="en-US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工資類型原則：國定假日加班</a:t>
          </a:r>
          <a:r>
            <a:rPr lang="en-US" altLang="zh-TW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8</a:t>
          </a:r>
          <a:r>
            <a:rPr lang="zh-TW" altLang="en-US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小時以內</a:t>
          </a:r>
          <a:r>
            <a:rPr lang="en-US" altLang="zh-TW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,</a:t>
          </a:r>
          <a:r>
            <a:rPr lang="zh-TW" altLang="en-US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工資類型代碼：</a:t>
          </a:r>
          <a:r>
            <a:rPr lang="en-US" altLang="zh-TW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12</a:t>
          </a:r>
        </a:p>
        <a:p>
          <a:r>
            <a:rPr lang="zh-TW" altLang="en-US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工資類型原則：國定假日加班超過</a:t>
          </a:r>
          <a:r>
            <a:rPr lang="en-US" altLang="zh-TW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8</a:t>
          </a:r>
          <a:r>
            <a:rPr lang="zh-TW" altLang="en-US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小時以後前</a:t>
          </a:r>
          <a:r>
            <a:rPr lang="en-US" altLang="zh-TW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2</a:t>
          </a:r>
          <a:r>
            <a:rPr lang="zh-TW" altLang="en-US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小時時數，工資類型代碼：</a:t>
          </a:r>
          <a:r>
            <a:rPr lang="en-US" altLang="zh-TW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15</a:t>
          </a:r>
        </a:p>
        <a:p>
          <a:r>
            <a:rPr lang="zh-TW" altLang="en-US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工資類型原則：國定假日加班超過</a:t>
          </a:r>
          <a:r>
            <a:rPr lang="en-US" altLang="zh-TW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8</a:t>
          </a:r>
          <a:r>
            <a:rPr lang="zh-TW" altLang="en-US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小時以後後</a:t>
          </a:r>
          <a:r>
            <a:rPr lang="en-US" altLang="zh-TW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2</a:t>
          </a:r>
          <a:r>
            <a:rPr lang="zh-TW" altLang="en-US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小時時數，工資類型代碼：</a:t>
          </a:r>
          <a:r>
            <a:rPr lang="en-US" altLang="zh-TW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13</a:t>
          </a:r>
        </a:p>
        <a:p>
          <a:r>
            <a:rPr lang="zh-TW" altLang="en-US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工資類型原則：天災</a:t>
          </a:r>
          <a:r>
            <a:rPr lang="en-US" altLang="zh-TW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/</a:t>
          </a:r>
          <a:r>
            <a:rPr lang="zh-TW" altLang="en-US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選舉加班</a:t>
          </a:r>
          <a:r>
            <a:rPr lang="en-US" altLang="zh-TW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8</a:t>
          </a:r>
          <a:r>
            <a:rPr lang="zh-TW" altLang="en-US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小時以內</a:t>
          </a:r>
          <a:r>
            <a:rPr lang="en-US" altLang="zh-TW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,</a:t>
          </a:r>
          <a:r>
            <a:rPr lang="zh-TW" altLang="en-US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工資類型代碼：</a:t>
          </a:r>
          <a:r>
            <a:rPr lang="en-US" altLang="zh-TW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12</a:t>
          </a:r>
        </a:p>
        <a:p>
          <a:r>
            <a:rPr lang="zh-TW" altLang="en-US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工資類型原則：天災</a:t>
          </a:r>
          <a:r>
            <a:rPr lang="en-US" altLang="zh-TW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/</a:t>
          </a:r>
          <a:r>
            <a:rPr lang="zh-TW" altLang="en-US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選舉加班超過</a:t>
          </a:r>
          <a:r>
            <a:rPr lang="en-US" altLang="zh-TW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8</a:t>
          </a:r>
          <a:r>
            <a:rPr lang="zh-TW" altLang="en-US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小時以後前</a:t>
          </a:r>
          <a:r>
            <a:rPr lang="en-US" altLang="zh-TW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2</a:t>
          </a:r>
          <a:r>
            <a:rPr lang="zh-TW" altLang="en-US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小時時數，工資類型代碼：</a:t>
          </a:r>
          <a:r>
            <a:rPr lang="en-US" altLang="zh-TW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15</a:t>
          </a:r>
        </a:p>
        <a:p>
          <a:r>
            <a:rPr lang="zh-TW" altLang="en-US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工資類型原則：天災</a:t>
          </a:r>
          <a:r>
            <a:rPr lang="en-US" altLang="zh-TW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/</a:t>
          </a:r>
          <a:r>
            <a:rPr lang="zh-TW" altLang="en-US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選舉加班超過</a:t>
          </a:r>
          <a:r>
            <a:rPr lang="en-US" altLang="zh-TW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8</a:t>
          </a:r>
          <a:r>
            <a:rPr lang="zh-TW" altLang="en-US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小時以後後</a:t>
          </a:r>
          <a:r>
            <a:rPr lang="en-US" altLang="zh-TW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2</a:t>
          </a:r>
          <a:r>
            <a:rPr lang="zh-TW" altLang="en-US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小時時數，工資類型代碼：</a:t>
          </a:r>
          <a:r>
            <a:rPr lang="en-US" altLang="zh-TW" sz="1100">
              <a:latin typeface="微軟正黑體 Light" panose="020B0304030504040204" pitchFamily="34" charset="-120"/>
              <a:ea typeface="微軟正黑體 Light" panose="020B0304030504040204" pitchFamily="34" charset="-120"/>
            </a:rPr>
            <a:t>13</a:t>
          </a:r>
          <a:endParaRPr lang="zh-TW" altLang="en-US" sz="1100">
            <a:latin typeface="微軟正黑體 Light" panose="020B0304030504040204" pitchFamily="34" charset="-120"/>
            <a:ea typeface="微軟正黑體 Light" panose="020B0304030504040204" pitchFamily="34" charset="-12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860879</xdr:colOff>
      <xdr:row>20</xdr:row>
      <xdr:rowOff>135011</xdr:rowOff>
    </xdr:from>
    <xdr:to>
      <xdr:col>8</xdr:col>
      <xdr:colOff>569099</xdr:colOff>
      <xdr:row>33</xdr:row>
      <xdr:rowOff>20620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0879" y="4449836"/>
          <a:ext cx="9328470" cy="24859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test@mail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rgb="FFFFFF00"/>
  </sheetPr>
  <dimension ref="A3:G19"/>
  <sheetViews>
    <sheetView workbookViewId="0">
      <selection activeCell="E22" sqref="E22"/>
    </sheetView>
  </sheetViews>
  <sheetFormatPr defaultColWidth="8.75" defaultRowHeight="15.6"/>
  <cols>
    <col min="1" max="1" width="8.75" style="2"/>
    <col min="2" max="2" width="15.125" style="2" bestFit="1" customWidth="1"/>
    <col min="3" max="3" width="19.375" style="2" bestFit="1" customWidth="1"/>
    <col min="4" max="4" width="19.375" style="2" customWidth="1"/>
    <col min="5" max="5" width="25.125" style="2" customWidth="1"/>
    <col min="6" max="6" width="37.5" style="119" customWidth="1"/>
    <col min="7" max="7" width="32.5" style="2" bestFit="1" customWidth="1"/>
    <col min="8" max="16384" width="8.75" style="2"/>
  </cols>
  <sheetData>
    <row r="3" spans="2:7">
      <c r="D3" s="24"/>
      <c r="E3" s="24"/>
    </row>
    <row r="5" spans="2:7">
      <c r="B5" s="120" t="s">
        <v>0</v>
      </c>
      <c r="C5" s="120" t="s">
        <v>1</v>
      </c>
      <c r="D5" s="120" t="s">
        <v>2</v>
      </c>
      <c r="E5" s="120"/>
      <c r="F5" s="119" t="s">
        <v>3</v>
      </c>
    </row>
    <row r="6" spans="2:7" ht="39">
      <c r="B6" s="183" t="s">
        <v>4</v>
      </c>
      <c r="C6" s="121" t="str">
        <f>HYPERLINK("#"&amp;"彙報關係"&amp;"!a1","彙報關係")</f>
        <v>彙報關係</v>
      </c>
      <c r="D6" s="122" t="s">
        <v>5</v>
      </c>
      <c r="E6" s="122" t="s">
        <v>6</v>
      </c>
      <c r="F6" s="99" t="s">
        <v>7</v>
      </c>
      <c r="G6" s="123" t="s">
        <v>8</v>
      </c>
    </row>
    <row r="7" spans="2:7">
      <c r="B7" s="183" t="s">
        <v>4</v>
      </c>
      <c r="C7" s="121" t="str">
        <f>HYPERLINK("#"&amp;"組織主檔"&amp;"!a1","組織主檔")</f>
        <v>組織主檔</v>
      </c>
      <c r="D7" s="122" t="s">
        <v>5</v>
      </c>
      <c r="E7" s="122" t="s">
        <v>6</v>
      </c>
      <c r="F7" s="99" t="s">
        <v>9</v>
      </c>
      <c r="G7" s="123" t="s">
        <v>10</v>
      </c>
    </row>
    <row r="8" spans="2:7" ht="26.1">
      <c r="B8" s="183" t="s">
        <v>4</v>
      </c>
      <c r="C8" s="121" t="str">
        <f>HYPERLINK("#"&amp;"剩餘假主檔"&amp;"!a1","剩餘假主檔")</f>
        <v>剩餘假主檔</v>
      </c>
      <c r="D8" s="122" t="s">
        <v>5</v>
      </c>
      <c r="E8" s="122" t="s">
        <v>6</v>
      </c>
      <c r="F8" s="128" t="s">
        <v>11</v>
      </c>
      <c r="G8" s="123" t="s">
        <v>12</v>
      </c>
    </row>
    <row r="9" spans="2:7" ht="39">
      <c r="B9" s="183" t="s">
        <v>4</v>
      </c>
      <c r="C9" s="121" t="str">
        <f>HYPERLINK("#"&amp;"員工異動記錄"&amp;"!a1","員工異動記錄")</f>
        <v>員工異動記錄</v>
      </c>
      <c r="D9" s="130" t="s">
        <v>13</v>
      </c>
      <c r="E9" s="122" t="s">
        <v>6</v>
      </c>
      <c r="F9" s="99" t="s">
        <v>14</v>
      </c>
      <c r="G9" s="123" t="s">
        <v>15</v>
      </c>
    </row>
    <row r="10" spans="2:7" s="127" customFormat="1" hidden="1">
      <c r="B10" s="184" t="s">
        <v>4</v>
      </c>
      <c r="C10" s="124" t="str">
        <f>HYPERLINK("#"&amp;"員工異動主檔"&amp;"!a1","員工異動主檔")</f>
        <v>員工異動主檔</v>
      </c>
      <c r="D10" s="125" t="s">
        <v>13</v>
      </c>
      <c r="E10" s="125"/>
      <c r="F10" s="126" t="s">
        <v>16</v>
      </c>
      <c r="G10" s="123"/>
    </row>
    <row r="11" spans="2:7">
      <c r="B11" s="183" t="s">
        <v>4</v>
      </c>
      <c r="C11" s="121" t="str">
        <f>HYPERLINK("#"&amp;"在職員工主檔"&amp;"!a1","在職員工主檔")</f>
        <v>在職員工主檔</v>
      </c>
      <c r="D11" s="122" t="s">
        <v>5</v>
      </c>
      <c r="E11" s="122" t="s">
        <v>6</v>
      </c>
      <c r="F11" s="99" t="s">
        <v>17</v>
      </c>
      <c r="G11" s="123" t="s">
        <v>18</v>
      </c>
    </row>
    <row r="12" spans="2:7">
      <c r="B12" s="185" t="s">
        <v>19</v>
      </c>
      <c r="C12" s="121" t="s">
        <v>20</v>
      </c>
      <c r="D12" s="122" t="s">
        <v>21</v>
      </c>
      <c r="E12" s="122" t="s">
        <v>22</v>
      </c>
      <c r="F12" s="128"/>
      <c r="G12" s="129"/>
    </row>
    <row r="13" spans="2:7">
      <c r="B13" s="185" t="s">
        <v>23</v>
      </c>
      <c r="C13" s="121" t="s">
        <v>24</v>
      </c>
      <c r="D13" s="122" t="s">
        <v>21</v>
      </c>
      <c r="E13" s="122" t="s">
        <v>25</v>
      </c>
      <c r="F13" s="128"/>
      <c r="G13" s="129"/>
    </row>
    <row r="14" spans="2:7">
      <c r="B14" s="182" t="s">
        <v>26</v>
      </c>
      <c r="C14" s="121" t="str">
        <f>HYPERLINK("#"&amp;"PT考勤總額"&amp;"!a1","PT考勤總額")</f>
        <v>PT考勤總額</v>
      </c>
      <c r="D14" s="122" t="s">
        <v>27</v>
      </c>
      <c r="E14" s="122" t="s">
        <v>28</v>
      </c>
      <c r="F14" s="99"/>
      <c r="G14" s="129" t="s">
        <v>29</v>
      </c>
    </row>
    <row r="15" spans="2:7">
      <c r="B15" s="182" t="s">
        <v>26</v>
      </c>
      <c r="C15" s="121" t="str">
        <f>HYPERLINK("#"&amp;"加班明細"&amp;"!a1","加班明細")</f>
        <v>加班明細</v>
      </c>
      <c r="D15" s="122" t="s">
        <v>27</v>
      </c>
      <c r="E15" s="122" t="s">
        <v>28</v>
      </c>
      <c r="F15" s="99"/>
      <c r="G15" s="129" t="s">
        <v>30</v>
      </c>
    </row>
    <row r="16" spans="2:7">
      <c r="B16" s="182" t="s">
        <v>26</v>
      </c>
      <c r="C16" s="121" t="str">
        <f>HYPERLINK("#"&amp;"休假資料"&amp;"!a1","休假資料")</f>
        <v>休假資料</v>
      </c>
      <c r="D16" s="130" t="s">
        <v>13</v>
      </c>
      <c r="E16" s="122" t="s">
        <v>28</v>
      </c>
      <c r="F16" s="131" t="s">
        <v>31</v>
      </c>
      <c r="G16" s="129" t="s">
        <v>32</v>
      </c>
    </row>
    <row r="17" spans="1:7">
      <c r="A17" s="2" t="s">
        <v>33</v>
      </c>
      <c r="B17" s="186" t="s">
        <v>4</v>
      </c>
      <c r="C17" s="121" t="str">
        <f>HYPERLINK("#"&amp;"自選式福利額度"&amp;"!a1","自選式福利額度")</f>
        <v>自選式福利額度</v>
      </c>
      <c r="D17" s="22"/>
      <c r="E17" s="122" t="s">
        <v>6</v>
      </c>
      <c r="F17" s="22"/>
      <c r="G17" s="129" t="s">
        <v>34</v>
      </c>
    </row>
    <row r="18" spans="1:7">
      <c r="A18" s="2" t="s">
        <v>33</v>
      </c>
      <c r="B18" s="186" t="s">
        <v>35</v>
      </c>
      <c r="C18" s="121" t="str">
        <f>HYPERLINK("#"&amp;"自選式福利申請"&amp;"!a1","自選式福利申請")</f>
        <v>自選式福利申請</v>
      </c>
      <c r="D18" s="22"/>
      <c r="E18" s="122" t="s">
        <v>28</v>
      </c>
      <c r="F18" s="22"/>
      <c r="G18" s="129" t="s">
        <v>36</v>
      </c>
    </row>
    <row r="19" spans="1:7">
      <c r="A19" s="2" t="s">
        <v>33</v>
      </c>
      <c r="B19" s="187" t="s">
        <v>37</v>
      </c>
      <c r="C19" s="121" t="str">
        <f>HYPERLINK("#"&amp;"其他"&amp;"!a1","其他")</f>
        <v>其他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>
    <tabColor theme="4" tint="0.39997558519241921"/>
  </sheetPr>
  <dimension ref="A1:E35"/>
  <sheetViews>
    <sheetView zoomScale="120" zoomScaleNormal="120" workbookViewId="0">
      <selection activeCell="C27" sqref="C27"/>
    </sheetView>
  </sheetViews>
  <sheetFormatPr defaultColWidth="8.875" defaultRowHeight="15.6"/>
  <cols>
    <col min="1" max="1" width="13" style="85" customWidth="1"/>
    <col min="2" max="2" width="20.125" style="85" bestFit="1" customWidth="1"/>
    <col min="3" max="3" width="37.875" style="85" bestFit="1" customWidth="1"/>
    <col min="4" max="16384" width="8.875" style="85"/>
  </cols>
  <sheetData>
    <row r="1" spans="1:5" ht="21" thickBot="1">
      <c r="A1" s="132" t="s">
        <v>38</v>
      </c>
      <c r="C1" s="85" t="s">
        <v>39</v>
      </c>
      <c r="D1" s="85" t="s">
        <v>40</v>
      </c>
    </row>
    <row r="2" spans="1:5">
      <c r="D2" s="116" t="s">
        <v>41</v>
      </c>
    </row>
    <row r="3" spans="1:5" s="134" customFormat="1" ht="12.95">
      <c r="A3" s="191" t="s">
        <v>42</v>
      </c>
      <c r="B3" s="192"/>
      <c r="C3" s="133" t="s">
        <v>43</v>
      </c>
    </row>
    <row r="4" spans="1:5" s="134" customFormat="1" ht="12.95">
      <c r="A4" s="191" t="s">
        <v>44</v>
      </c>
      <c r="B4" s="192"/>
      <c r="C4" s="133" t="s">
        <v>45</v>
      </c>
    </row>
    <row r="5" spans="1:5" s="134" customFormat="1" ht="12.95">
      <c r="A5" s="135"/>
      <c r="C5" s="136"/>
    </row>
    <row r="6" spans="1:5" s="134" customFormat="1" ht="12.95">
      <c r="A6" s="135" t="s">
        <v>46</v>
      </c>
      <c r="B6" s="135"/>
      <c r="C6" s="135" t="s">
        <v>47</v>
      </c>
    </row>
    <row r="7" spans="1:5" s="134" customFormat="1" ht="12.95">
      <c r="A7" s="137" t="s">
        <v>48</v>
      </c>
      <c r="B7" s="138" t="s">
        <v>49</v>
      </c>
      <c r="C7" s="139" t="s">
        <v>50</v>
      </c>
      <c r="D7" s="139" t="s">
        <v>51</v>
      </c>
    </row>
    <row r="8" spans="1:5" s="134" customFormat="1" ht="12.95">
      <c r="A8" s="134" t="s">
        <v>52</v>
      </c>
      <c r="B8" s="140">
        <v>12</v>
      </c>
      <c r="C8" s="134" t="s">
        <v>53</v>
      </c>
      <c r="D8" s="140" t="s">
        <v>54</v>
      </c>
    </row>
    <row r="9" spans="1:5" s="134" customFormat="1" ht="12.95">
      <c r="A9" s="140" t="s">
        <v>55</v>
      </c>
      <c r="B9" s="140">
        <v>8</v>
      </c>
      <c r="C9" s="140" t="s">
        <v>56</v>
      </c>
      <c r="D9" s="140" t="s">
        <v>54</v>
      </c>
      <c r="E9" s="141" t="s">
        <v>57</v>
      </c>
    </row>
    <row r="10" spans="1:5" s="134" customFormat="1" ht="12.95">
      <c r="A10" s="140" t="s">
        <v>58</v>
      </c>
      <c r="B10" s="140">
        <v>8</v>
      </c>
      <c r="C10" s="140" t="s">
        <v>58</v>
      </c>
      <c r="D10" s="140" t="s">
        <v>59</v>
      </c>
      <c r="E10" s="141" t="s">
        <v>60</v>
      </c>
    </row>
    <row r="11" spans="1:5" s="134" customFormat="1" ht="12.95">
      <c r="A11" s="133" t="s">
        <v>44</v>
      </c>
      <c r="B11" s="193" t="s">
        <v>61</v>
      </c>
      <c r="C11" s="194"/>
      <c r="D11" s="195"/>
    </row>
    <row r="12" spans="1:5" s="134" customFormat="1" ht="12.95">
      <c r="A12" s="135" t="s">
        <v>62</v>
      </c>
      <c r="B12" s="135"/>
      <c r="C12" s="135" t="s">
        <v>47</v>
      </c>
    </row>
    <row r="13" spans="1:5" s="134" customFormat="1" ht="12.95">
      <c r="A13" s="137" t="s">
        <v>48</v>
      </c>
      <c r="B13" s="138"/>
      <c r="C13" s="139" t="s">
        <v>50</v>
      </c>
      <c r="D13" s="139" t="s">
        <v>51</v>
      </c>
    </row>
    <row r="14" spans="1:5">
      <c r="A14" s="140" t="s">
        <v>63</v>
      </c>
      <c r="B14" s="140">
        <v>8</v>
      </c>
      <c r="C14" s="140" t="s">
        <v>64</v>
      </c>
      <c r="D14" s="140" t="s">
        <v>54</v>
      </c>
      <c r="E14" s="85" t="s">
        <v>65</v>
      </c>
    </row>
    <row r="15" spans="1:5" ht="26.1">
      <c r="A15" s="140" t="s">
        <v>66</v>
      </c>
      <c r="B15" s="140">
        <v>8</v>
      </c>
      <c r="C15" s="140" t="s">
        <v>64</v>
      </c>
      <c r="D15" s="140" t="s">
        <v>54</v>
      </c>
    </row>
    <row r="16" spans="1:5" s="134" customFormat="1" ht="16.5" customHeight="1">
      <c r="A16" s="133" t="s">
        <v>44</v>
      </c>
      <c r="B16" s="196" t="s">
        <v>67</v>
      </c>
      <c r="C16" s="197"/>
      <c r="D16" s="198"/>
    </row>
    <row r="17" spans="1:2" s="134" customFormat="1" ht="12.95"/>
    <row r="18" spans="1:2" s="134" customFormat="1" ht="12.95">
      <c r="A18" s="133" t="s">
        <v>68</v>
      </c>
      <c r="B18" s="123" t="s">
        <v>69</v>
      </c>
    </row>
    <row r="19" spans="1:2" s="134" customFormat="1" ht="12.95">
      <c r="A19" s="133" t="s">
        <v>70</v>
      </c>
      <c r="B19" s="133" t="s">
        <v>71</v>
      </c>
    </row>
    <row r="20" spans="1:2" s="134" customFormat="1" ht="12.95">
      <c r="A20" s="133" t="s">
        <v>72</v>
      </c>
      <c r="B20" s="133" t="s">
        <v>73</v>
      </c>
    </row>
    <row r="21" spans="1:2" s="134" customFormat="1" ht="12.95">
      <c r="A21" s="133" t="s">
        <v>74</v>
      </c>
      <c r="B21" s="133" t="s">
        <v>73</v>
      </c>
    </row>
    <row r="25" spans="1:2">
      <c r="A25" s="85" t="s">
        <v>75</v>
      </c>
    </row>
    <row r="27" spans="1:2">
      <c r="A27" s="85" t="s">
        <v>76</v>
      </c>
      <c r="B27" s="85" t="s">
        <v>77</v>
      </c>
    </row>
    <row r="28" spans="1:2">
      <c r="A28" s="85" t="s">
        <v>77</v>
      </c>
      <c r="B28" s="85" t="s">
        <v>78</v>
      </c>
    </row>
    <row r="29" spans="1:2">
      <c r="A29" s="85" t="s">
        <v>78</v>
      </c>
      <c r="B29" s="85" t="s">
        <v>79</v>
      </c>
    </row>
    <row r="30" spans="1:2">
      <c r="A30" s="85" t="s">
        <v>79</v>
      </c>
      <c r="B30" s="85" t="s">
        <v>80</v>
      </c>
    </row>
    <row r="35" spans="1:1" s="143" customFormat="1">
      <c r="A35" s="142" t="s">
        <v>81</v>
      </c>
    </row>
  </sheetData>
  <mergeCells count="4">
    <mergeCell ref="A3:B3"/>
    <mergeCell ref="A4:B4"/>
    <mergeCell ref="B11:D11"/>
    <mergeCell ref="B16:D16"/>
  </mergeCells>
  <phoneticPr fontId="2" type="noConversion"/>
  <hyperlinks>
    <hyperlink ref="A1" location="目錄!A1" display="返回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3">
    <tabColor theme="4" tint="0.39997558519241921"/>
  </sheetPr>
  <dimension ref="A1:F67"/>
  <sheetViews>
    <sheetView zoomScale="120" zoomScaleNormal="120" workbookViewId="0">
      <pane ySplit="1" topLeftCell="A2" activePane="bottomLeft" state="frozen"/>
      <selection pane="bottomLeft" activeCell="F24" sqref="F24"/>
    </sheetView>
  </sheetViews>
  <sheetFormatPr defaultColWidth="9" defaultRowHeight="13.5"/>
  <cols>
    <col min="1" max="1" width="16.875" style="6" bestFit="1" customWidth="1"/>
    <col min="2" max="2" width="11.375" style="6" bestFit="1" customWidth="1"/>
    <col min="3" max="3" width="33" style="6" bestFit="1" customWidth="1"/>
    <col min="4" max="4" width="9" style="6"/>
    <col min="5" max="5" width="19.875" style="6" customWidth="1"/>
    <col min="6" max="16384" width="9" style="6"/>
  </cols>
  <sheetData>
    <row r="1" spans="1:5" s="2" customFormat="1" ht="21.95" thickBot="1">
      <c r="A1" s="1" t="s">
        <v>38</v>
      </c>
      <c r="C1" s="85" t="s">
        <v>82</v>
      </c>
    </row>
    <row r="2" spans="1:5" s="2" customFormat="1" ht="15.6"/>
    <row r="3" spans="1:5">
      <c r="A3" s="199" t="s">
        <v>42</v>
      </c>
      <c r="B3" s="200"/>
      <c r="C3" s="5" t="s">
        <v>83</v>
      </c>
    </row>
    <row r="4" spans="1:5">
      <c r="A4" s="199" t="s">
        <v>44</v>
      </c>
      <c r="B4" s="200"/>
      <c r="C4" s="5" t="s">
        <v>84</v>
      </c>
    </row>
    <row r="5" spans="1:5">
      <c r="A5" s="46"/>
      <c r="C5" s="48"/>
    </row>
    <row r="6" spans="1:5">
      <c r="A6" s="46" t="s">
        <v>46</v>
      </c>
      <c r="B6" s="46"/>
      <c r="C6" s="46" t="s">
        <v>47</v>
      </c>
    </row>
    <row r="7" spans="1:5">
      <c r="A7" s="45" t="s">
        <v>48</v>
      </c>
      <c r="B7" s="44" t="s">
        <v>49</v>
      </c>
      <c r="C7" s="43" t="s">
        <v>50</v>
      </c>
      <c r="D7" s="43" t="s">
        <v>51</v>
      </c>
    </row>
    <row r="8" spans="1:5">
      <c r="A8" s="6" t="s">
        <v>52</v>
      </c>
      <c r="B8" s="58">
        <v>7</v>
      </c>
      <c r="C8" s="74" t="s">
        <v>85</v>
      </c>
      <c r="D8" s="41" t="s">
        <v>54</v>
      </c>
    </row>
    <row r="9" spans="1:5" s="47" customFormat="1">
      <c r="A9" s="41" t="s">
        <v>55</v>
      </c>
      <c r="B9" s="41">
        <v>8</v>
      </c>
      <c r="C9" s="41" t="s">
        <v>56</v>
      </c>
      <c r="D9" s="41" t="s">
        <v>54</v>
      </c>
      <c r="E9" s="35" t="s">
        <v>57</v>
      </c>
    </row>
    <row r="10" spans="1:5">
      <c r="A10" s="41" t="s">
        <v>58</v>
      </c>
      <c r="B10" s="41">
        <v>8</v>
      </c>
      <c r="C10" s="41" t="s">
        <v>58</v>
      </c>
      <c r="D10" s="41" t="s">
        <v>59</v>
      </c>
      <c r="E10" s="35" t="s">
        <v>60</v>
      </c>
    </row>
    <row r="11" spans="1:5">
      <c r="A11" s="5" t="s">
        <v>44</v>
      </c>
      <c r="B11" s="201" t="s">
        <v>86</v>
      </c>
      <c r="C11" s="202"/>
      <c r="D11" s="203"/>
    </row>
    <row r="12" spans="1:5">
      <c r="A12" s="46"/>
      <c r="B12" s="46"/>
      <c r="C12" s="46"/>
    </row>
    <row r="13" spans="1:5">
      <c r="A13" s="46" t="s">
        <v>62</v>
      </c>
      <c r="B13" s="46"/>
      <c r="C13" s="46" t="s">
        <v>47</v>
      </c>
    </row>
    <row r="14" spans="1:5">
      <c r="A14" s="45" t="s">
        <v>48</v>
      </c>
      <c r="B14" s="44"/>
      <c r="C14" s="43" t="s">
        <v>50</v>
      </c>
      <c r="D14" s="43" t="s">
        <v>51</v>
      </c>
    </row>
    <row r="15" spans="1:5" ht="27">
      <c r="A15" s="41" t="s">
        <v>87</v>
      </c>
      <c r="B15" s="41"/>
      <c r="C15" s="41" t="s">
        <v>88</v>
      </c>
      <c r="D15" s="41" t="s">
        <v>54</v>
      </c>
      <c r="E15" s="6">
        <v>891232</v>
      </c>
    </row>
    <row r="16" spans="1:5">
      <c r="A16" s="41" t="s">
        <v>89</v>
      </c>
      <c r="B16" s="41"/>
      <c r="C16" s="41" t="s">
        <v>54</v>
      </c>
      <c r="D16" s="41" t="s">
        <v>54</v>
      </c>
      <c r="E16" s="35" t="s">
        <v>90</v>
      </c>
    </row>
    <row r="17" spans="1:6" s="53" customFormat="1">
      <c r="A17" s="65" t="s">
        <v>91</v>
      </c>
      <c r="B17" s="65"/>
      <c r="C17" s="65"/>
      <c r="D17" s="65" t="s">
        <v>54</v>
      </c>
      <c r="E17" s="68">
        <v>111111</v>
      </c>
      <c r="F17" s="69" t="s">
        <v>92</v>
      </c>
    </row>
    <row r="18" spans="1:6">
      <c r="A18" s="41" t="s">
        <v>93</v>
      </c>
      <c r="B18" s="41"/>
      <c r="C18" s="41" t="s">
        <v>59</v>
      </c>
      <c r="D18" s="41" t="s">
        <v>54</v>
      </c>
      <c r="E18" s="40">
        <v>10008326</v>
      </c>
      <c r="F18" s="51" t="s">
        <v>94</v>
      </c>
    </row>
    <row r="19" spans="1:6" ht="27">
      <c r="A19" s="41" t="s">
        <v>95</v>
      </c>
      <c r="B19" s="41"/>
      <c r="C19" s="41" t="s">
        <v>59</v>
      </c>
      <c r="D19" s="41" t="s">
        <v>54</v>
      </c>
      <c r="E19" s="40">
        <v>10008325</v>
      </c>
    </row>
    <row r="20" spans="1:6">
      <c r="A20" s="41" t="s">
        <v>96</v>
      </c>
      <c r="B20" s="55"/>
      <c r="C20" s="98" t="s">
        <v>97</v>
      </c>
      <c r="D20" s="41" t="s">
        <v>54</v>
      </c>
      <c r="E20" s="40">
        <v>2001</v>
      </c>
      <c r="F20" s="51" t="s">
        <v>98</v>
      </c>
    </row>
    <row r="21" spans="1:6" s="53" customFormat="1">
      <c r="A21" s="65" t="s">
        <v>99</v>
      </c>
      <c r="B21" s="66"/>
      <c r="C21" s="67" t="s">
        <v>100</v>
      </c>
      <c r="D21" s="65" t="s">
        <v>54</v>
      </c>
      <c r="E21" s="68"/>
      <c r="F21" s="69" t="s">
        <v>101</v>
      </c>
    </row>
    <row r="22" spans="1:6">
      <c r="A22" s="49" t="s">
        <v>102</v>
      </c>
      <c r="B22" s="55"/>
      <c r="C22" s="56"/>
      <c r="D22" s="41" t="s">
        <v>54</v>
      </c>
      <c r="E22" s="40">
        <v>10000003</v>
      </c>
      <c r="F22" s="51"/>
    </row>
    <row r="23" spans="1:6" s="53" customFormat="1">
      <c r="A23" s="70" t="s">
        <v>103</v>
      </c>
      <c r="B23" s="66"/>
      <c r="C23" s="67" t="s">
        <v>104</v>
      </c>
      <c r="D23" s="71"/>
      <c r="E23" s="68"/>
      <c r="F23" s="69"/>
    </row>
    <row r="24" spans="1:6">
      <c r="A24" s="49" t="s">
        <v>105</v>
      </c>
      <c r="B24" s="55"/>
      <c r="C24" s="51" t="s">
        <v>106</v>
      </c>
      <c r="D24" s="64"/>
      <c r="E24" s="40"/>
      <c r="F24" s="51" t="s">
        <v>107</v>
      </c>
    </row>
    <row r="25" spans="1:6" ht="16.5" customHeight="1">
      <c r="A25" s="5" t="s">
        <v>44</v>
      </c>
      <c r="B25" s="204" t="s">
        <v>108</v>
      </c>
      <c r="C25" s="205"/>
      <c r="D25" s="206"/>
    </row>
    <row r="27" spans="1:6">
      <c r="A27" s="5" t="s">
        <v>68</v>
      </c>
      <c r="B27" s="94" t="s">
        <v>69</v>
      </c>
    </row>
    <row r="28" spans="1:6">
      <c r="A28" s="5" t="s">
        <v>70</v>
      </c>
      <c r="B28" s="5" t="s">
        <v>71</v>
      </c>
    </row>
    <row r="29" spans="1:6">
      <c r="A29" s="5" t="s">
        <v>72</v>
      </c>
      <c r="B29" s="5" t="s">
        <v>73</v>
      </c>
    </row>
    <row r="30" spans="1:6">
      <c r="A30" s="5" t="s">
        <v>74</v>
      </c>
      <c r="B30" s="5" t="s">
        <v>73</v>
      </c>
    </row>
    <row r="32" spans="1:6" s="53" customFormat="1">
      <c r="A32" s="61" t="s">
        <v>109</v>
      </c>
    </row>
    <row r="66" spans="1:2" s="118" customFormat="1" ht="17.100000000000001">
      <c r="A66" s="117" t="s">
        <v>81</v>
      </c>
    </row>
    <row r="67" spans="1:2">
      <c r="B67" s="51" t="s">
        <v>110</v>
      </c>
    </row>
  </sheetData>
  <mergeCells count="4">
    <mergeCell ref="A3:B3"/>
    <mergeCell ref="A4:B4"/>
    <mergeCell ref="B11:D11"/>
    <mergeCell ref="B25:D25"/>
  </mergeCells>
  <phoneticPr fontId="1" type="noConversion"/>
  <hyperlinks>
    <hyperlink ref="A1" location="目錄!A1" display="返回" xr:uid="{00000000-0004-0000-0200-000000000000}"/>
  </hyperlinks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工作表6">
    <tabColor theme="4" tint="0.39997558519241921"/>
  </sheetPr>
  <dimension ref="A1:F66"/>
  <sheetViews>
    <sheetView zoomScale="110" zoomScaleNormal="110" workbookViewId="0">
      <pane ySplit="1" topLeftCell="A2" activePane="bottomLeft" state="frozen"/>
      <selection pane="bottomLeft" activeCell="A66" sqref="A66:XFD66"/>
    </sheetView>
  </sheetViews>
  <sheetFormatPr defaultColWidth="9" defaultRowHeight="13.5"/>
  <cols>
    <col min="1" max="1" width="12.875" style="6" bestFit="1" customWidth="1"/>
    <col min="2" max="2" width="11.375" style="6" bestFit="1" customWidth="1"/>
    <col min="3" max="3" width="39.5" style="6" bestFit="1" customWidth="1"/>
    <col min="4" max="4" width="19.375" style="6" customWidth="1"/>
    <col min="5" max="5" width="59.625" style="6" customWidth="1"/>
    <col min="6" max="16384" width="9" style="6"/>
  </cols>
  <sheetData>
    <row r="1" spans="1:5" s="2" customFormat="1" ht="21.95" thickBot="1">
      <c r="A1" s="1" t="s">
        <v>38</v>
      </c>
      <c r="E1" s="2" t="s">
        <v>111</v>
      </c>
    </row>
    <row r="2" spans="1:5" s="2" customFormat="1" ht="51.95">
      <c r="E2" s="99" t="s">
        <v>112</v>
      </c>
    </row>
    <row r="3" spans="1:5" ht="16.5" customHeight="1">
      <c r="A3" s="199" t="s">
        <v>42</v>
      </c>
      <c r="B3" s="200"/>
      <c r="C3" s="5" t="s">
        <v>113</v>
      </c>
      <c r="D3" s="51"/>
    </row>
    <row r="4" spans="1:5">
      <c r="A4" s="199" t="s">
        <v>44</v>
      </c>
      <c r="B4" s="200"/>
      <c r="C4" s="5" t="s">
        <v>114</v>
      </c>
    </row>
    <row r="5" spans="1:5">
      <c r="A5" s="46"/>
      <c r="C5" s="48"/>
    </row>
    <row r="6" spans="1:5">
      <c r="A6" s="46" t="s">
        <v>46</v>
      </c>
      <c r="B6" s="46"/>
      <c r="C6" s="46" t="s">
        <v>47</v>
      </c>
    </row>
    <row r="7" spans="1:5">
      <c r="A7" s="45" t="s">
        <v>48</v>
      </c>
      <c r="B7" s="44" t="s">
        <v>49</v>
      </c>
      <c r="C7" s="43" t="s">
        <v>50</v>
      </c>
      <c r="D7" s="43" t="s">
        <v>51</v>
      </c>
      <c r="E7" s="35"/>
    </row>
    <row r="8" spans="1:5">
      <c r="A8" s="6" t="s">
        <v>52</v>
      </c>
      <c r="B8" s="80">
        <v>8</v>
      </c>
      <c r="C8" s="6" t="s">
        <v>115</v>
      </c>
      <c r="D8" s="41" t="s">
        <v>54</v>
      </c>
      <c r="E8" s="35" t="s">
        <v>116</v>
      </c>
    </row>
    <row r="9" spans="1:5">
      <c r="A9" s="41" t="s">
        <v>55</v>
      </c>
      <c r="B9" s="41">
        <v>8</v>
      </c>
      <c r="C9" s="41" t="s">
        <v>56</v>
      </c>
      <c r="D9" s="41" t="s">
        <v>54</v>
      </c>
      <c r="E9" s="35" t="s">
        <v>117</v>
      </c>
    </row>
    <row r="10" spans="1:5" s="47" customFormat="1">
      <c r="A10" s="41" t="s">
        <v>118</v>
      </c>
      <c r="B10" s="41">
        <v>8</v>
      </c>
      <c r="C10" s="41" t="s">
        <v>119</v>
      </c>
      <c r="D10" s="41" t="s">
        <v>54</v>
      </c>
      <c r="E10" s="35" t="s">
        <v>120</v>
      </c>
    </row>
    <row r="11" spans="1:5">
      <c r="A11" s="41" t="s">
        <v>58</v>
      </c>
      <c r="B11" s="41">
        <v>8</v>
      </c>
      <c r="C11" s="41" t="s">
        <v>58</v>
      </c>
      <c r="D11" s="41" t="s">
        <v>59</v>
      </c>
      <c r="E11" s="35" t="s">
        <v>60</v>
      </c>
    </row>
    <row r="12" spans="1:5">
      <c r="A12" s="5" t="s">
        <v>44</v>
      </c>
      <c r="B12" s="201" t="s">
        <v>121</v>
      </c>
      <c r="C12" s="202"/>
      <c r="D12" s="203"/>
      <c r="E12" s="35"/>
    </row>
    <row r="13" spans="1:5">
      <c r="A13" s="46"/>
      <c r="B13" s="46"/>
      <c r="C13" s="46"/>
      <c r="E13" s="35"/>
    </row>
    <row r="14" spans="1:5">
      <c r="A14" s="46" t="s">
        <v>62</v>
      </c>
      <c r="B14" s="46"/>
      <c r="C14" s="46" t="s">
        <v>47</v>
      </c>
      <c r="E14" s="35"/>
    </row>
    <row r="15" spans="1:5">
      <c r="A15" s="45" t="s">
        <v>48</v>
      </c>
      <c r="B15" s="44"/>
      <c r="C15" s="43" t="s">
        <v>50</v>
      </c>
      <c r="D15" s="43" t="s">
        <v>51</v>
      </c>
      <c r="E15" s="35"/>
    </row>
    <row r="16" spans="1:5">
      <c r="A16" s="41" t="s">
        <v>63</v>
      </c>
      <c r="B16" s="41"/>
      <c r="C16" s="41" t="s">
        <v>54</v>
      </c>
      <c r="D16" s="41" t="s">
        <v>54</v>
      </c>
      <c r="E16" s="35" t="s">
        <v>122</v>
      </c>
    </row>
    <row r="17" spans="1:6">
      <c r="A17" s="41" t="s">
        <v>123</v>
      </c>
      <c r="B17" s="41"/>
      <c r="C17" s="41" t="s">
        <v>54</v>
      </c>
      <c r="D17" s="41" t="s">
        <v>54</v>
      </c>
      <c r="E17" s="35" t="s">
        <v>124</v>
      </c>
    </row>
    <row r="18" spans="1:6">
      <c r="A18" s="41" t="s">
        <v>125</v>
      </c>
      <c r="B18" s="41"/>
      <c r="C18" s="41" t="s">
        <v>126</v>
      </c>
      <c r="D18" s="41" t="s">
        <v>54</v>
      </c>
      <c r="E18" s="35" t="s">
        <v>117</v>
      </c>
    </row>
    <row r="19" spans="1:6">
      <c r="A19" s="41" t="s">
        <v>127</v>
      </c>
      <c r="B19" s="41"/>
      <c r="C19" s="41" t="s">
        <v>128</v>
      </c>
      <c r="D19" s="41" t="s">
        <v>54</v>
      </c>
      <c r="E19" s="35" t="s">
        <v>129</v>
      </c>
    </row>
    <row r="20" spans="1:6">
      <c r="A20" s="41" t="s">
        <v>130</v>
      </c>
      <c r="B20" s="41"/>
      <c r="C20" s="41" t="s">
        <v>131</v>
      </c>
      <c r="D20" s="41"/>
      <c r="E20" s="35" t="s">
        <v>132</v>
      </c>
    </row>
    <row r="21" spans="1:6" s="39" customFormat="1">
      <c r="A21" s="41" t="s">
        <v>133</v>
      </c>
      <c r="B21" s="41"/>
      <c r="C21" s="41" t="s">
        <v>54</v>
      </c>
      <c r="D21" s="41" t="s">
        <v>54</v>
      </c>
      <c r="E21" s="35" t="s">
        <v>134</v>
      </c>
    </row>
    <row r="22" spans="1:6">
      <c r="A22" s="41" t="s">
        <v>135</v>
      </c>
      <c r="B22" s="41"/>
      <c r="C22" s="41" t="s">
        <v>54</v>
      </c>
      <c r="D22" s="41" t="s">
        <v>54</v>
      </c>
      <c r="E22" s="35" t="s">
        <v>136</v>
      </c>
      <c r="F22" s="51" t="s">
        <v>137</v>
      </c>
    </row>
    <row r="23" spans="1:6" s="39" customFormat="1">
      <c r="A23" s="41" t="s">
        <v>138</v>
      </c>
      <c r="B23" s="41"/>
      <c r="C23" s="41" t="s">
        <v>139</v>
      </c>
      <c r="D23" s="41" t="s">
        <v>54</v>
      </c>
      <c r="E23" s="35" t="s">
        <v>140</v>
      </c>
    </row>
    <row r="24" spans="1:6" s="39" customFormat="1">
      <c r="A24" s="41" t="s">
        <v>141</v>
      </c>
      <c r="B24" s="41"/>
      <c r="C24" s="41" t="s">
        <v>139</v>
      </c>
      <c r="D24" s="41" t="s">
        <v>54</v>
      </c>
      <c r="E24" s="35" t="s">
        <v>142</v>
      </c>
    </row>
    <row r="25" spans="1:6" s="39" customFormat="1">
      <c r="A25" s="41" t="s">
        <v>143</v>
      </c>
      <c r="B25" s="41"/>
      <c r="C25" s="41" t="s">
        <v>139</v>
      </c>
      <c r="D25" s="41" t="s">
        <v>54</v>
      </c>
      <c r="E25" s="35" t="s">
        <v>144</v>
      </c>
    </row>
    <row r="26" spans="1:6">
      <c r="A26" s="5" t="s">
        <v>44</v>
      </c>
      <c r="B26" s="208" t="s">
        <v>145</v>
      </c>
      <c r="C26" s="209"/>
      <c r="D26" s="210"/>
      <c r="E26" s="50"/>
    </row>
    <row r="28" spans="1:6">
      <c r="A28" s="5" t="s">
        <v>68</v>
      </c>
      <c r="B28" s="34" t="s">
        <v>69</v>
      </c>
    </row>
    <row r="29" spans="1:6">
      <c r="A29" s="5" t="s">
        <v>70</v>
      </c>
      <c r="B29" s="5" t="s">
        <v>71</v>
      </c>
    </row>
    <row r="30" spans="1:6">
      <c r="A30" s="5" t="s">
        <v>72</v>
      </c>
      <c r="B30" s="5" t="s">
        <v>73</v>
      </c>
    </row>
    <row r="31" spans="1:6">
      <c r="A31" s="5" t="s">
        <v>74</v>
      </c>
      <c r="B31" s="5" t="s">
        <v>73</v>
      </c>
    </row>
    <row r="36" spans="1:6">
      <c r="A36" s="75" t="s">
        <v>146</v>
      </c>
      <c r="B36" s="75" t="s">
        <v>131</v>
      </c>
      <c r="C36" s="75" t="s">
        <v>147</v>
      </c>
      <c r="D36" s="75" t="s">
        <v>148</v>
      </c>
      <c r="E36" s="75" t="s">
        <v>149</v>
      </c>
      <c r="F36" s="75" t="s">
        <v>150</v>
      </c>
    </row>
    <row r="37" spans="1:6">
      <c r="A37" s="75" t="s">
        <v>151</v>
      </c>
      <c r="B37" s="75" t="s">
        <v>152</v>
      </c>
      <c r="C37" s="75" t="s">
        <v>153</v>
      </c>
      <c r="D37" s="75" t="s">
        <v>154</v>
      </c>
      <c r="E37" s="75">
        <v>10</v>
      </c>
      <c r="F37" s="75">
        <v>5</v>
      </c>
    </row>
    <row r="38" spans="1:6" s="76" customFormat="1">
      <c r="A38" s="207" t="s">
        <v>155</v>
      </c>
      <c r="B38" s="207"/>
      <c r="C38" s="207"/>
      <c r="D38" s="207"/>
      <c r="E38" s="207"/>
      <c r="F38" s="207"/>
    </row>
    <row r="39" spans="1:6">
      <c r="A39" s="79" t="s">
        <v>156</v>
      </c>
      <c r="B39" s="75"/>
      <c r="C39" s="75" t="s">
        <v>157</v>
      </c>
      <c r="D39" s="75" t="s">
        <v>158</v>
      </c>
      <c r="E39" s="75"/>
      <c r="F39" s="75"/>
    </row>
    <row r="40" spans="1:6">
      <c r="A40" s="75" t="s">
        <v>151</v>
      </c>
      <c r="B40" s="75" t="s">
        <v>152</v>
      </c>
      <c r="C40" s="75" t="s">
        <v>153</v>
      </c>
      <c r="D40" s="75" t="s">
        <v>159</v>
      </c>
      <c r="E40" s="75">
        <v>10</v>
      </c>
      <c r="F40" s="75">
        <v>5</v>
      </c>
    </row>
    <row r="41" spans="1:6" s="76" customFormat="1">
      <c r="A41" s="207" t="s">
        <v>160</v>
      </c>
      <c r="B41" s="207"/>
      <c r="C41" s="207"/>
      <c r="D41" s="207" t="s">
        <v>161</v>
      </c>
      <c r="E41" s="207"/>
      <c r="F41" s="207"/>
    </row>
    <row r="42" spans="1:6">
      <c r="A42" s="79" t="s">
        <v>156</v>
      </c>
      <c r="B42" s="75"/>
      <c r="C42" s="75" t="s">
        <v>157</v>
      </c>
      <c r="D42" s="75" t="s">
        <v>162</v>
      </c>
      <c r="E42" s="75"/>
      <c r="F42" s="75"/>
    </row>
    <row r="43" spans="1:6">
      <c r="A43" s="75" t="s">
        <v>151</v>
      </c>
      <c r="B43" s="75" t="s">
        <v>152</v>
      </c>
      <c r="C43" s="75" t="s">
        <v>153</v>
      </c>
      <c r="D43" s="80" t="s">
        <v>163</v>
      </c>
      <c r="E43" s="80">
        <v>12</v>
      </c>
      <c r="F43" s="75">
        <v>5</v>
      </c>
    </row>
    <row r="44" spans="1:6" s="76" customFormat="1">
      <c r="A44" s="207" t="s">
        <v>164</v>
      </c>
      <c r="B44" s="207"/>
      <c r="C44" s="207"/>
      <c r="D44" s="207" t="s">
        <v>161</v>
      </c>
      <c r="E44" s="207"/>
      <c r="F44" s="207"/>
    </row>
    <row r="45" spans="1:6">
      <c r="A45" s="79" t="s">
        <v>156</v>
      </c>
      <c r="B45" s="75"/>
      <c r="C45" s="75" t="s">
        <v>165</v>
      </c>
      <c r="D45" s="75" t="s">
        <v>154</v>
      </c>
      <c r="E45" s="75"/>
      <c r="F45" s="75">
        <v>1</v>
      </c>
    </row>
    <row r="46" spans="1:6">
      <c r="A46" s="79" t="s">
        <v>156</v>
      </c>
      <c r="B46" s="75"/>
      <c r="C46" s="75" t="s">
        <v>166</v>
      </c>
      <c r="D46" s="75" t="s">
        <v>154</v>
      </c>
      <c r="E46" s="75"/>
      <c r="F46" s="75">
        <v>1</v>
      </c>
    </row>
    <row r="47" spans="1:6">
      <c r="A47" s="75" t="s">
        <v>151</v>
      </c>
      <c r="B47" s="75" t="s">
        <v>152</v>
      </c>
      <c r="C47" s="75" t="s">
        <v>153</v>
      </c>
      <c r="D47" s="75" t="s">
        <v>154</v>
      </c>
      <c r="E47" s="75">
        <v>10</v>
      </c>
      <c r="F47" s="75">
        <v>7</v>
      </c>
    </row>
    <row r="50" spans="1:5">
      <c r="A50" s="60" t="s">
        <v>167</v>
      </c>
    </row>
    <row r="51" spans="1:5">
      <c r="A51" s="74" t="s">
        <v>168</v>
      </c>
    </row>
    <row r="52" spans="1:5">
      <c r="A52" s="6" t="s">
        <v>169</v>
      </c>
      <c r="B52" s="60" t="s">
        <v>170</v>
      </c>
    </row>
    <row r="53" spans="1:5">
      <c r="A53" s="6" t="s">
        <v>171</v>
      </c>
      <c r="B53" s="60" t="s">
        <v>170</v>
      </c>
    </row>
    <row r="54" spans="1:5">
      <c r="A54" s="6" t="s">
        <v>172</v>
      </c>
    </row>
    <row r="55" spans="1:5">
      <c r="A55" s="6" t="s">
        <v>173</v>
      </c>
      <c r="B55" s="51" t="s">
        <v>174</v>
      </c>
    </row>
    <row r="58" spans="1:5" s="95" customFormat="1">
      <c r="A58" s="95" t="s">
        <v>175</v>
      </c>
      <c r="B58" s="95" t="s">
        <v>176</v>
      </c>
      <c r="C58" s="95" t="s">
        <v>177</v>
      </c>
      <c r="D58" s="95" t="s">
        <v>178</v>
      </c>
      <c r="E58" s="95" t="s">
        <v>179</v>
      </c>
    </row>
    <row r="59" spans="1:5" s="95" customFormat="1">
      <c r="A59" s="95" t="s">
        <v>180</v>
      </c>
      <c r="B59" s="95" t="s">
        <v>181</v>
      </c>
      <c r="C59" s="95">
        <v>80</v>
      </c>
      <c r="D59" s="95">
        <v>30</v>
      </c>
      <c r="E59" s="95">
        <v>50</v>
      </c>
    </row>
    <row r="60" spans="1:5" s="95" customFormat="1">
      <c r="A60" s="95" t="s">
        <v>182</v>
      </c>
      <c r="B60" s="96">
        <v>43239</v>
      </c>
      <c r="D60" s="95">
        <v>5</v>
      </c>
    </row>
    <row r="61" spans="1:5" s="95" customFormat="1"/>
    <row r="62" spans="1:5" s="95" customFormat="1">
      <c r="A62" s="95" t="s">
        <v>182</v>
      </c>
      <c r="B62" s="96">
        <v>43245</v>
      </c>
      <c r="D62" s="95">
        <v>3</v>
      </c>
    </row>
    <row r="66" spans="1:1" s="118" customFormat="1" ht="17.100000000000001">
      <c r="A66" s="117" t="s">
        <v>81</v>
      </c>
    </row>
  </sheetData>
  <mergeCells count="7">
    <mergeCell ref="A44:F44"/>
    <mergeCell ref="A41:F41"/>
    <mergeCell ref="A3:B3"/>
    <mergeCell ref="A4:B4"/>
    <mergeCell ref="B12:D12"/>
    <mergeCell ref="B26:D26"/>
    <mergeCell ref="A38:F38"/>
  </mergeCells>
  <phoneticPr fontId="1" type="noConversion"/>
  <hyperlinks>
    <hyperlink ref="A1" location="目錄!A1" display="返回" xr:uid="{00000000-0004-0000-0500-000000000000}"/>
  </hyperlinks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4">
    <tabColor theme="4" tint="0.39997558519241921"/>
  </sheetPr>
  <dimension ref="A1:F24"/>
  <sheetViews>
    <sheetView tabSelected="1" zoomScale="110" zoomScaleNormal="110" workbookViewId="0">
      <selection activeCell="C17" sqref="C17"/>
    </sheetView>
  </sheetViews>
  <sheetFormatPr defaultColWidth="9" defaultRowHeight="12.95"/>
  <cols>
    <col min="1" max="2" width="11.375" style="134" bestFit="1" customWidth="1"/>
    <col min="3" max="3" width="39.5" style="134" bestFit="1" customWidth="1"/>
    <col min="4" max="4" width="9" style="134"/>
    <col min="5" max="5" width="27.875" style="134" customWidth="1"/>
    <col min="6" max="16384" width="9" style="134"/>
  </cols>
  <sheetData>
    <row r="1" spans="1:6" s="85" customFormat="1" ht="21" thickBot="1">
      <c r="A1" s="132" t="s">
        <v>38</v>
      </c>
      <c r="E1" s="85" t="s">
        <v>183</v>
      </c>
    </row>
    <row r="2" spans="1:6">
      <c r="A2" s="189" t="s">
        <v>42</v>
      </c>
      <c r="B2" s="190"/>
      <c r="C2" s="133" t="s">
        <v>184</v>
      </c>
      <c r="E2" s="181" t="s">
        <v>185</v>
      </c>
    </row>
    <row r="3" spans="1:6">
      <c r="A3" s="191" t="s">
        <v>44</v>
      </c>
      <c r="B3" s="192"/>
      <c r="C3" s="133" t="s">
        <v>186</v>
      </c>
    </row>
    <row r="4" spans="1:6">
      <c r="A4" s="135"/>
      <c r="C4" s="136"/>
    </row>
    <row r="5" spans="1:6">
      <c r="A5" s="135" t="s">
        <v>46</v>
      </c>
      <c r="B5" s="135"/>
      <c r="C5" s="135" t="s">
        <v>47</v>
      </c>
    </row>
    <row r="6" spans="1:6">
      <c r="A6" s="137" t="s">
        <v>48</v>
      </c>
      <c r="B6" s="138" t="s">
        <v>49</v>
      </c>
      <c r="C6" s="139" t="s">
        <v>50</v>
      </c>
      <c r="D6" s="139" t="s">
        <v>51</v>
      </c>
      <c r="E6" s="141"/>
    </row>
    <row r="7" spans="1:6">
      <c r="A7" s="134" t="s">
        <v>52</v>
      </c>
      <c r="B7" s="144">
        <v>11</v>
      </c>
      <c r="C7" s="134" t="s">
        <v>187</v>
      </c>
      <c r="D7" s="140" t="s">
        <v>54</v>
      </c>
      <c r="E7" s="141"/>
    </row>
    <row r="8" spans="1:6">
      <c r="A8" s="140" t="s">
        <v>55</v>
      </c>
      <c r="B8" s="140">
        <v>8</v>
      </c>
      <c r="C8" s="140" t="s">
        <v>56</v>
      </c>
      <c r="D8" s="140" t="s">
        <v>54</v>
      </c>
      <c r="E8" s="141" t="s">
        <v>57</v>
      </c>
    </row>
    <row r="9" spans="1:6">
      <c r="A9" s="140" t="s">
        <v>58</v>
      </c>
      <c r="B9" s="140">
        <v>8</v>
      </c>
      <c r="C9" s="140" t="s">
        <v>58</v>
      </c>
      <c r="D9" s="140" t="s">
        <v>59</v>
      </c>
      <c r="E9" s="141" t="s">
        <v>60</v>
      </c>
    </row>
    <row r="10" spans="1:6">
      <c r="A10" s="133" t="s">
        <v>44</v>
      </c>
      <c r="B10" s="193" t="s">
        <v>188</v>
      </c>
      <c r="C10" s="194"/>
      <c r="D10" s="195"/>
      <c r="E10" s="141"/>
    </row>
    <row r="11" spans="1:6">
      <c r="A11" s="135"/>
      <c r="B11" s="135"/>
      <c r="C11" s="135"/>
      <c r="E11" s="141"/>
    </row>
    <row r="12" spans="1:6" ht="13.5" thickBot="1">
      <c r="A12" s="135" t="s">
        <v>62</v>
      </c>
      <c r="B12" s="135"/>
      <c r="C12" s="135" t="s">
        <v>47</v>
      </c>
      <c r="E12" s="141"/>
    </row>
    <row r="13" spans="1:6">
      <c r="A13" s="154" t="s">
        <v>48</v>
      </c>
      <c r="B13" s="155"/>
      <c r="C13" s="156" t="s">
        <v>50</v>
      </c>
      <c r="D13" s="157" t="s">
        <v>51</v>
      </c>
      <c r="E13" s="141"/>
    </row>
    <row r="14" spans="1:6">
      <c r="A14" s="160" t="s">
        <v>123</v>
      </c>
      <c r="B14" s="161"/>
      <c r="C14" s="162" t="s">
        <v>54</v>
      </c>
      <c r="D14" s="163" t="s">
        <v>54</v>
      </c>
      <c r="E14" s="141" t="s">
        <v>124</v>
      </c>
    </row>
    <row r="15" spans="1:6">
      <c r="A15" s="160" t="s">
        <v>63</v>
      </c>
      <c r="B15" s="161">
        <v>8</v>
      </c>
      <c r="C15" s="162" t="s">
        <v>64</v>
      </c>
      <c r="D15" s="163" t="s">
        <v>54</v>
      </c>
      <c r="E15" s="141" t="s">
        <v>189</v>
      </c>
    </row>
    <row r="16" spans="1:6" ht="122.25" customHeight="1">
      <c r="A16" s="179" t="s">
        <v>190</v>
      </c>
      <c r="B16" s="161">
        <v>2</v>
      </c>
      <c r="C16" s="188" t="s">
        <v>191</v>
      </c>
      <c r="D16" s="163" t="s">
        <v>54</v>
      </c>
      <c r="E16" s="172"/>
      <c r="F16" s="173" t="s">
        <v>192</v>
      </c>
    </row>
    <row r="17" spans="1:5" ht="19.5" customHeight="1">
      <c r="A17" s="160" t="s">
        <v>193</v>
      </c>
      <c r="B17" s="161">
        <v>8</v>
      </c>
      <c r="C17" s="162" t="s">
        <v>194</v>
      </c>
      <c r="D17" s="163" t="s">
        <v>54</v>
      </c>
      <c r="E17" s="141" t="s">
        <v>195</v>
      </c>
    </row>
    <row r="18" spans="1:5" ht="89.25" customHeight="1" thickBot="1">
      <c r="A18" s="180" t="s">
        <v>105</v>
      </c>
      <c r="B18" s="165">
        <v>1</v>
      </c>
      <c r="C18" s="178" t="s">
        <v>196</v>
      </c>
      <c r="D18" s="166" t="s">
        <v>54</v>
      </c>
      <c r="E18" s="141"/>
    </row>
    <row r="19" spans="1:5" ht="16.5" customHeight="1">
      <c r="A19" s="174" t="s">
        <v>44</v>
      </c>
      <c r="B19" s="175" t="s">
        <v>197</v>
      </c>
      <c r="C19" s="176"/>
      <c r="D19" s="177"/>
      <c r="E19" s="141"/>
    </row>
    <row r="21" spans="1:5">
      <c r="A21" s="133" t="s">
        <v>68</v>
      </c>
      <c r="B21" s="123" t="s">
        <v>198</v>
      </c>
    </row>
    <row r="22" spans="1:5">
      <c r="A22" s="133" t="s">
        <v>70</v>
      </c>
      <c r="B22" s="133" t="s">
        <v>71</v>
      </c>
    </row>
    <row r="23" spans="1:5">
      <c r="A23" s="133" t="s">
        <v>72</v>
      </c>
      <c r="B23" s="133" t="s">
        <v>73</v>
      </c>
    </row>
    <row r="24" spans="1:5">
      <c r="A24" s="133" t="s">
        <v>74</v>
      </c>
      <c r="B24" s="133" t="s">
        <v>73</v>
      </c>
    </row>
  </sheetData>
  <mergeCells count="3">
    <mergeCell ref="A2:B2"/>
    <mergeCell ref="A3:B3"/>
    <mergeCell ref="B10:D10"/>
  </mergeCells>
  <phoneticPr fontId="1" type="noConversion"/>
  <hyperlinks>
    <hyperlink ref="A1" location="目錄!A1" display="返回" xr:uid="{00000000-0004-0000-03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5">
    <tabColor theme="4" tint="0.39997558519241921"/>
  </sheetPr>
  <dimension ref="A1:J39"/>
  <sheetViews>
    <sheetView workbookViewId="0">
      <pane ySplit="1" topLeftCell="A10" activePane="bottomLeft" state="frozen"/>
      <selection pane="bottomLeft" activeCell="P16" sqref="P16:Q26"/>
    </sheetView>
  </sheetViews>
  <sheetFormatPr defaultColWidth="9" defaultRowHeight="12.95"/>
  <cols>
    <col min="1" max="1" width="13" style="134" customWidth="1"/>
    <col min="2" max="2" width="11.375" style="134" bestFit="1" customWidth="1"/>
    <col min="3" max="3" width="43.125" style="134" customWidth="1"/>
    <col min="4" max="4" width="9" style="134"/>
    <col min="5" max="5" width="20.125" style="134" customWidth="1"/>
    <col min="6" max="16384" width="9" style="134"/>
  </cols>
  <sheetData>
    <row r="1" spans="1:8" s="2" customFormat="1" ht="21" thickBot="1">
      <c r="A1" s="132" t="s">
        <v>38</v>
      </c>
      <c r="E1" s="85" t="s">
        <v>199</v>
      </c>
      <c r="F1" s="85"/>
      <c r="G1" s="85"/>
    </row>
    <row r="2" spans="1:8" s="2" customFormat="1" ht="15.6">
      <c r="E2" s="85" t="s">
        <v>200</v>
      </c>
      <c r="F2" s="97"/>
      <c r="G2" s="85"/>
    </row>
    <row r="3" spans="1:8">
      <c r="A3" s="191" t="s">
        <v>42</v>
      </c>
      <c r="B3" s="192"/>
      <c r="C3" s="133" t="s">
        <v>201</v>
      </c>
    </row>
    <row r="4" spans="1:8">
      <c r="A4" s="191" t="s">
        <v>44</v>
      </c>
      <c r="B4" s="192"/>
      <c r="C4" s="133" t="s">
        <v>202</v>
      </c>
    </row>
    <row r="5" spans="1:8">
      <c r="A5" s="135"/>
      <c r="C5" s="136"/>
    </row>
    <row r="6" spans="1:8">
      <c r="A6" s="135" t="s">
        <v>46</v>
      </c>
      <c r="B6" s="135"/>
      <c r="C6" s="135" t="s">
        <v>47</v>
      </c>
    </row>
    <row r="7" spans="1:8">
      <c r="A7" s="137" t="s">
        <v>48</v>
      </c>
      <c r="B7" s="138" t="s">
        <v>49</v>
      </c>
      <c r="C7" s="139" t="s">
        <v>50</v>
      </c>
      <c r="D7" s="139" t="s">
        <v>51</v>
      </c>
      <c r="E7" s="141"/>
    </row>
    <row r="8" spans="1:8">
      <c r="A8" s="134" t="s">
        <v>52</v>
      </c>
      <c r="B8" s="144">
        <v>13</v>
      </c>
      <c r="C8" s="134" t="s">
        <v>203</v>
      </c>
      <c r="D8" s="140" t="s">
        <v>54</v>
      </c>
      <c r="E8" s="141"/>
    </row>
    <row r="9" spans="1:8" s="145" customFormat="1">
      <c r="A9" s="140" t="s">
        <v>55</v>
      </c>
      <c r="B9" s="140">
        <v>8</v>
      </c>
      <c r="C9" s="140" t="s">
        <v>56</v>
      </c>
      <c r="D9" s="140" t="s">
        <v>54</v>
      </c>
      <c r="E9" s="141" t="s">
        <v>57</v>
      </c>
    </row>
    <row r="10" spans="1:8">
      <c r="A10" s="140" t="s">
        <v>58</v>
      </c>
      <c r="B10" s="140">
        <v>8</v>
      </c>
      <c r="C10" s="140" t="s">
        <v>58</v>
      </c>
      <c r="D10" s="140" t="s">
        <v>59</v>
      </c>
      <c r="E10" s="141" t="s">
        <v>60</v>
      </c>
    </row>
    <row r="11" spans="1:8">
      <c r="A11" s="133" t="s">
        <v>44</v>
      </c>
      <c r="B11" s="193" t="s">
        <v>204</v>
      </c>
      <c r="C11" s="194"/>
      <c r="D11" s="195"/>
      <c r="E11" s="141"/>
    </row>
    <row r="12" spans="1:8">
      <c r="A12" s="135"/>
      <c r="B12" s="135"/>
      <c r="C12" s="135"/>
      <c r="E12" s="141"/>
    </row>
    <row r="13" spans="1:8" ht="13.5" thickBot="1">
      <c r="A13" s="135" t="s">
        <v>62</v>
      </c>
      <c r="B13" s="135"/>
      <c r="C13" s="135" t="s">
        <v>47</v>
      </c>
      <c r="E13" s="141"/>
    </row>
    <row r="14" spans="1:8">
      <c r="A14" s="154" t="s">
        <v>48</v>
      </c>
      <c r="B14" s="155" t="s">
        <v>205</v>
      </c>
      <c r="C14" s="156" t="s">
        <v>50</v>
      </c>
      <c r="D14" s="157" t="s">
        <v>51</v>
      </c>
      <c r="E14" s="141"/>
    </row>
    <row r="15" spans="1:8">
      <c r="A15" s="160" t="s">
        <v>123</v>
      </c>
      <c r="B15" s="161">
        <v>20</v>
      </c>
      <c r="C15" s="162" t="s">
        <v>54</v>
      </c>
      <c r="D15" s="163" t="s">
        <v>54</v>
      </c>
      <c r="E15" s="141" t="s">
        <v>124</v>
      </c>
    </row>
    <row r="16" spans="1:8" ht="15.6">
      <c r="A16" s="160" t="s">
        <v>206</v>
      </c>
      <c r="B16" s="161">
        <v>10</v>
      </c>
      <c r="C16" s="162" t="s">
        <v>207</v>
      </c>
      <c r="D16" s="163" t="s">
        <v>54</v>
      </c>
      <c r="E16" s="141">
        <v>999999</v>
      </c>
      <c r="H16" s="42"/>
    </row>
    <row r="17" spans="1:10">
      <c r="A17" s="160" t="s">
        <v>63</v>
      </c>
      <c r="B17" s="161">
        <v>8</v>
      </c>
      <c r="C17" s="162" t="s">
        <v>64</v>
      </c>
      <c r="D17" s="163" t="s">
        <v>54</v>
      </c>
      <c r="E17" s="141" t="s">
        <v>189</v>
      </c>
    </row>
    <row r="18" spans="1:10" ht="26.1">
      <c r="A18" s="160" t="s">
        <v>208</v>
      </c>
      <c r="B18" s="161">
        <v>2</v>
      </c>
      <c r="C18" s="162" t="s">
        <v>209</v>
      </c>
      <c r="D18" s="163" t="s">
        <v>54</v>
      </c>
      <c r="E18" s="141" t="s">
        <v>210</v>
      </c>
      <c r="F18" s="146" t="s">
        <v>211</v>
      </c>
    </row>
    <row r="19" spans="1:10">
      <c r="A19" s="160" t="s">
        <v>212</v>
      </c>
      <c r="B19" s="161">
        <v>40</v>
      </c>
      <c r="C19" s="162" t="s">
        <v>54</v>
      </c>
      <c r="D19" s="163" t="s">
        <v>54</v>
      </c>
      <c r="E19" s="141" t="s">
        <v>213</v>
      </c>
      <c r="F19" s="146" t="s">
        <v>214</v>
      </c>
    </row>
    <row r="20" spans="1:10">
      <c r="A20" s="160" t="s">
        <v>215</v>
      </c>
      <c r="B20" s="161">
        <v>8</v>
      </c>
      <c r="C20" s="162" t="s">
        <v>216</v>
      </c>
      <c r="D20" s="163" t="s">
        <v>54</v>
      </c>
      <c r="E20" s="141" t="s">
        <v>195</v>
      </c>
      <c r="F20" s="146"/>
    </row>
    <row r="21" spans="1:10" s="147" customFormat="1">
      <c r="A21" s="158" t="s">
        <v>217</v>
      </c>
      <c r="B21" s="161">
        <v>8</v>
      </c>
      <c r="C21" s="162" t="s">
        <v>216</v>
      </c>
      <c r="D21" s="163" t="s">
        <v>54</v>
      </c>
      <c r="E21" s="141" t="s">
        <v>218</v>
      </c>
      <c r="F21" s="153" t="s">
        <v>219</v>
      </c>
      <c r="G21" s="134"/>
      <c r="H21" s="134"/>
      <c r="I21" s="134"/>
      <c r="J21" s="134"/>
    </row>
    <row r="22" spans="1:10" s="147" customFormat="1" ht="26.1">
      <c r="A22" s="160" t="s">
        <v>220</v>
      </c>
      <c r="B22" s="161">
        <v>1</v>
      </c>
      <c r="C22" s="162" t="s">
        <v>221</v>
      </c>
      <c r="D22" s="163" t="s">
        <v>54</v>
      </c>
      <c r="E22" s="141" t="s">
        <v>222</v>
      </c>
      <c r="F22" s="134"/>
      <c r="G22" s="134"/>
      <c r="H22" s="134"/>
      <c r="I22" s="134"/>
      <c r="J22" s="134"/>
    </row>
    <row r="23" spans="1:10" s="147" customFormat="1">
      <c r="A23" s="160" t="s">
        <v>93</v>
      </c>
      <c r="B23" s="161">
        <v>8</v>
      </c>
      <c r="C23" s="162" t="s">
        <v>59</v>
      </c>
      <c r="D23" s="163" t="s">
        <v>54</v>
      </c>
      <c r="E23" s="148">
        <v>10008326</v>
      </c>
      <c r="F23" s="134"/>
      <c r="G23" s="134"/>
      <c r="H23" s="134"/>
      <c r="I23" s="134"/>
      <c r="J23" s="134"/>
    </row>
    <row r="24" spans="1:10" s="147" customFormat="1">
      <c r="A24" s="160" t="s">
        <v>223</v>
      </c>
      <c r="B24" s="161">
        <v>10</v>
      </c>
      <c r="C24" s="162" t="s">
        <v>224</v>
      </c>
      <c r="D24" s="163" t="s">
        <v>54</v>
      </c>
      <c r="E24" s="148" t="s">
        <v>225</v>
      </c>
      <c r="F24" s="134"/>
      <c r="G24" s="134"/>
      <c r="H24" s="134"/>
      <c r="I24" s="134"/>
      <c r="J24" s="134"/>
    </row>
    <row r="25" spans="1:10" s="147" customFormat="1">
      <c r="A25" s="160" t="s">
        <v>226</v>
      </c>
      <c r="B25" s="161">
        <v>2</v>
      </c>
      <c r="C25" s="162" t="s">
        <v>227</v>
      </c>
      <c r="D25" s="163" t="s">
        <v>54</v>
      </c>
      <c r="E25" s="141" t="s">
        <v>228</v>
      </c>
      <c r="F25" s="134"/>
      <c r="G25" s="134"/>
      <c r="H25" s="134"/>
      <c r="I25" s="134"/>
      <c r="J25" s="134"/>
    </row>
    <row r="26" spans="1:10" ht="26.1">
      <c r="A26" s="160" t="s">
        <v>229</v>
      </c>
      <c r="B26" s="161">
        <v>8</v>
      </c>
      <c r="C26" s="162" t="s">
        <v>216</v>
      </c>
      <c r="D26" s="163" t="s">
        <v>54</v>
      </c>
      <c r="E26" s="141"/>
      <c r="F26" s="146" t="s">
        <v>230</v>
      </c>
    </row>
    <row r="27" spans="1:10" s="147" customFormat="1">
      <c r="A27" s="160" t="s">
        <v>231</v>
      </c>
      <c r="B27" s="161">
        <v>8</v>
      </c>
      <c r="C27" s="162" t="s">
        <v>216</v>
      </c>
      <c r="D27" s="163" t="s">
        <v>54</v>
      </c>
      <c r="E27" s="141" t="s">
        <v>218</v>
      </c>
      <c r="F27" s="146" t="s">
        <v>232</v>
      </c>
      <c r="G27" s="134"/>
      <c r="H27" s="134"/>
      <c r="I27" s="134"/>
      <c r="J27" s="134"/>
    </row>
    <row r="28" spans="1:10" s="147" customFormat="1">
      <c r="A28" s="167" t="s">
        <v>233</v>
      </c>
      <c r="B28" s="161">
        <v>8</v>
      </c>
      <c r="C28" s="162"/>
      <c r="D28" s="163"/>
      <c r="E28" s="141" t="s">
        <v>234</v>
      </c>
      <c r="F28" s="146" t="s">
        <v>235</v>
      </c>
      <c r="G28" s="134"/>
      <c r="H28" s="134"/>
      <c r="I28" s="134"/>
      <c r="J28" s="134"/>
    </row>
    <row r="29" spans="1:10" s="147" customFormat="1">
      <c r="A29" s="167" t="s">
        <v>96</v>
      </c>
      <c r="B29" s="161">
        <v>4</v>
      </c>
      <c r="C29" s="162" t="s">
        <v>236</v>
      </c>
      <c r="D29" s="163"/>
      <c r="E29" s="141" t="s">
        <v>237</v>
      </c>
      <c r="F29" s="146"/>
      <c r="G29" s="134"/>
      <c r="H29" s="134"/>
      <c r="I29" s="134"/>
      <c r="J29" s="134"/>
    </row>
    <row r="30" spans="1:10" s="147" customFormat="1">
      <c r="A30" s="167" t="s">
        <v>238</v>
      </c>
      <c r="B30" s="161">
        <v>1</v>
      </c>
      <c r="C30" s="162" t="s">
        <v>239</v>
      </c>
      <c r="D30" s="163"/>
      <c r="E30" s="141" t="s">
        <v>240</v>
      </c>
      <c r="F30" s="146" t="s">
        <v>241</v>
      </c>
      <c r="G30" s="134"/>
      <c r="H30" s="134"/>
      <c r="I30" s="134"/>
      <c r="J30" s="134"/>
    </row>
    <row r="31" spans="1:10" s="150" customFormat="1" ht="26.1">
      <c r="A31" s="167" t="s">
        <v>242</v>
      </c>
      <c r="B31" s="164">
        <v>8</v>
      </c>
      <c r="C31" s="162" t="s">
        <v>216</v>
      </c>
      <c r="D31" s="163" t="s">
        <v>54</v>
      </c>
      <c r="E31" s="141" t="s">
        <v>195</v>
      </c>
      <c r="F31" s="146"/>
      <c r="G31" s="149"/>
      <c r="H31" s="149"/>
      <c r="I31" s="149"/>
      <c r="J31" s="149"/>
    </row>
    <row r="32" spans="1:10" s="147" customFormat="1" ht="15.6">
      <c r="A32" s="167" t="s">
        <v>243</v>
      </c>
      <c r="B32" s="161">
        <v>240</v>
      </c>
      <c r="C32" s="162"/>
      <c r="D32" s="163"/>
      <c r="E32" s="151" t="s">
        <v>244</v>
      </c>
      <c r="F32" s="152"/>
    </row>
    <row r="33" spans="1:6" ht="105.75" customHeight="1">
      <c r="A33" s="179" t="s">
        <v>105</v>
      </c>
      <c r="B33" s="161">
        <v>1</v>
      </c>
      <c r="C33" s="169" t="s">
        <v>196</v>
      </c>
      <c r="D33" s="170" t="s">
        <v>54</v>
      </c>
      <c r="E33" s="148"/>
      <c r="F33" s="146" t="s">
        <v>245</v>
      </c>
    </row>
    <row r="34" spans="1:6" ht="13.5" thickBot="1">
      <c r="A34" s="168" t="s">
        <v>246</v>
      </c>
      <c r="B34" s="165">
        <v>8</v>
      </c>
      <c r="C34" s="159"/>
      <c r="D34" s="171" t="s">
        <v>54</v>
      </c>
      <c r="E34" s="148"/>
      <c r="F34" s="146"/>
    </row>
    <row r="36" spans="1:6">
      <c r="A36" s="133" t="s">
        <v>68</v>
      </c>
      <c r="B36" s="133" t="s">
        <v>69</v>
      </c>
    </row>
    <row r="37" spans="1:6">
      <c r="A37" s="133" t="s">
        <v>70</v>
      </c>
      <c r="B37" s="133" t="s">
        <v>71</v>
      </c>
    </row>
    <row r="38" spans="1:6">
      <c r="A38" s="133" t="s">
        <v>72</v>
      </c>
      <c r="B38" s="133" t="s">
        <v>73</v>
      </c>
    </row>
    <row r="39" spans="1:6">
      <c r="A39" s="133" t="s">
        <v>74</v>
      </c>
      <c r="B39" s="133" t="s">
        <v>73</v>
      </c>
    </row>
  </sheetData>
  <mergeCells count="3">
    <mergeCell ref="A3:B3"/>
    <mergeCell ref="A4:B4"/>
    <mergeCell ref="B11:D11"/>
  </mergeCells>
  <phoneticPr fontId="1" type="noConversion"/>
  <hyperlinks>
    <hyperlink ref="A1" location="目錄!A1" display="返回" xr:uid="{00000000-0004-0000-0400-000000000000}"/>
    <hyperlink ref="E32" r:id="rId1" xr:uid="{00000000-0004-0000-0400-000001000000}"/>
  </hyperlinks>
  <pageMargins left="0.75" right="0.75" top="1" bottom="1" header="0.5" footer="0.5"/>
  <pageSetup paperSize="9" orientation="portrait" r:id="rId2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FAE6D-C24A-4C5D-B917-3268773C8ED5}">
  <sheetPr>
    <tabColor theme="6" tint="0.79998168889431442"/>
  </sheetPr>
  <dimension ref="A1"/>
  <sheetViews>
    <sheetView workbookViewId="0">
      <selection activeCell="P25" sqref="P25"/>
    </sheetView>
  </sheetViews>
  <sheetFormatPr defaultRowHeight="17.100000000000001"/>
  <sheetData/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E0F65-5D04-4321-97EF-59EB79EDBEC7}">
  <sheetPr>
    <tabColor theme="6" tint="0.79998168889431442"/>
  </sheetPr>
  <dimension ref="A1"/>
  <sheetViews>
    <sheetView workbookViewId="0">
      <selection activeCell="F26" sqref="F26"/>
    </sheetView>
  </sheetViews>
  <sheetFormatPr defaultRowHeight="17.100000000000001"/>
  <sheetData/>
  <phoneticPr fontId="1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工作表7">
    <tabColor theme="5" tint="0.39997558519241921"/>
  </sheetPr>
  <dimension ref="A1:F22"/>
  <sheetViews>
    <sheetView topLeftCell="A7" workbookViewId="0">
      <selection activeCell="B7" sqref="B7:C7"/>
    </sheetView>
  </sheetViews>
  <sheetFormatPr defaultColWidth="9" defaultRowHeight="15.6"/>
  <cols>
    <col min="1" max="1" width="12.875" style="2" bestFit="1" customWidth="1"/>
    <col min="2" max="2" width="11.625" style="2" customWidth="1"/>
    <col min="3" max="3" width="17.875" style="2" customWidth="1"/>
    <col min="4" max="4" width="23.125" style="2" customWidth="1"/>
    <col min="5" max="16384" width="9" style="2"/>
  </cols>
  <sheetData>
    <row r="1" spans="1:6" ht="21.95" thickBot="1">
      <c r="A1" s="1" t="s">
        <v>38</v>
      </c>
      <c r="F1" s="2" t="s">
        <v>247</v>
      </c>
    </row>
    <row r="2" spans="1:6">
      <c r="F2" s="2" t="s">
        <v>248</v>
      </c>
    </row>
    <row r="3" spans="1:6" s="6" customFormat="1" ht="13.5">
      <c r="A3" s="3" t="s">
        <v>42</v>
      </c>
      <c r="B3" s="4" t="s">
        <v>249</v>
      </c>
      <c r="C3" s="5"/>
    </row>
    <row r="4" spans="1:6" s="6" customFormat="1" ht="13.5">
      <c r="A4" s="3" t="s">
        <v>44</v>
      </c>
      <c r="B4" s="4" t="s">
        <v>250</v>
      </c>
      <c r="C4" s="5"/>
    </row>
    <row r="6" spans="1:6">
      <c r="A6" s="2" t="s">
        <v>251</v>
      </c>
    </row>
    <row r="7" spans="1:6">
      <c r="A7" s="7" t="s">
        <v>252</v>
      </c>
      <c r="B7" s="8" t="s">
        <v>253</v>
      </c>
      <c r="C7" s="8" t="s">
        <v>254</v>
      </c>
      <c r="D7" s="8" t="s">
        <v>255</v>
      </c>
    </row>
    <row r="8" spans="1:6">
      <c r="A8" s="9" t="s">
        <v>256</v>
      </c>
      <c r="B8" s="10"/>
      <c r="C8" s="10"/>
      <c r="D8" s="10">
        <v>1420</v>
      </c>
    </row>
    <row r="9" spans="1:6" hidden="1">
      <c r="A9" s="9" t="s">
        <v>257</v>
      </c>
      <c r="B9" s="10">
        <v>8</v>
      </c>
      <c r="C9" s="10">
        <v>8</v>
      </c>
      <c r="D9" s="10">
        <v>8</v>
      </c>
    </row>
    <row r="10" spans="1:6">
      <c r="A10" s="9" t="s">
        <v>258</v>
      </c>
      <c r="B10" s="10" t="s">
        <v>259</v>
      </c>
      <c r="C10" s="10" t="s">
        <v>259</v>
      </c>
      <c r="D10" s="10" t="s">
        <v>259</v>
      </c>
    </row>
    <row r="11" spans="1:6">
      <c r="A11" s="9" t="s">
        <v>260</v>
      </c>
      <c r="B11" s="10" t="s">
        <v>261</v>
      </c>
      <c r="C11" s="10">
        <v>20120320</v>
      </c>
      <c r="D11" s="10">
        <v>168</v>
      </c>
    </row>
    <row r="12" spans="1:6" ht="77.45">
      <c r="A12" s="9" t="s">
        <v>262</v>
      </c>
      <c r="B12" s="11"/>
      <c r="C12" s="72" t="s">
        <v>263</v>
      </c>
      <c r="D12" s="12" t="s">
        <v>264</v>
      </c>
    </row>
    <row r="14" spans="1:6" ht="18">
      <c r="A14" s="52" t="s">
        <v>265</v>
      </c>
    </row>
    <row r="15" spans="1:6" ht="18">
      <c r="A15" s="52" t="s">
        <v>266</v>
      </c>
    </row>
    <row r="17" spans="1:4">
      <c r="A17" s="31" t="s">
        <v>267</v>
      </c>
    </row>
    <row r="18" spans="1:4">
      <c r="A18" s="31" t="s">
        <v>268</v>
      </c>
    </row>
    <row r="20" spans="1:4">
      <c r="A20" s="2" t="s">
        <v>269</v>
      </c>
    </row>
    <row r="21" spans="1:4">
      <c r="A21" s="10" t="s">
        <v>261</v>
      </c>
      <c r="B21" s="10" t="s">
        <v>270</v>
      </c>
      <c r="C21" s="10" t="s">
        <v>271</v>
      </c>
      <c r="D21" s="2" t="s">
        <v>272</v>
      </c>
    </row>
    <row r="22" spans="1:4">
      <c r="A22" s="10" t="s">
        <v>261</v>
      </c>
      <c r="B22" s="10">
        <v>20120320</v>
      </c>
      <c r="C22" s="10">
        <v>168</v>
      </c>
    </row>
  </sheetData>
  <phoneticPr fontId="1" type="noConversion"/>
  <hyperlinks>
    <hyperlink ref="A1" location="目錄!A1" display="返回" xr:uid="{00000000-0004-0000-0600-000000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工作表8">
    <tabColor theme="5" tint="0.39997558519241921"/>
  </sheetPr>
  <dimension ref="A1:K27"/>
  <sheetViews>
    <sheetView topLeftCell="A25" zoomScale="80" zoomScaleNormal="80" workbookViewId="0">
      <selection activeCell="A22" sqref="A22"/>
    </sheetView>
  </sheetViews>
  <sheetFormatPr defaultRowHeight="17.100000000000001"/>
  <cols>
    <col min="1" max="1" width="58.875" customWidth="1"/>
    <col min="2" max="2" width="13.875" customWidth="1"/>
    <col min="3" max="4" width="15.125" bestFit="1" customWidth="1"/>
    <col min="5" max="5" width="19.875" customWidth="1"/>
    <col min="7" max="7" width="9.5" bestFit="1" customWidth="1"/>
    <col min="8" max="8" width="11" customWidth="1"/>
  </cols>
  <sheetData>
    <row r="1" spans="1:11" s="2" customFormat="1" ht="21.95" thickBot="1">
      <c r="A1" s="1" t="s">
        <v>38</v>
      </c>
    </row>
    <row r="2" spans="1:11" s="2" customFormat="1" ht="15.6"/>
    <row r="3" spans="1:11" s="6" customFormat="1" ht="13.5">
      <c r="A3" s="3" t="s">
        <v>42</v>
      </c>
      <c r="B3" s="4" t="s">
        <v>273</v>
      </c>
      <c r="C3" s="5"/>
    </row>
    <row r="4" spans="1:11" s="6" customFormat="1" ht="13.5">
      <c r="A4" s="3" t="s">
        <v>44</v>
      </c>
      <c r="B4" s="4" t="s">
        <v>274</v>
      </c>
      <c r="C4" s="5"/>
    </row>
    <row r="5" spans="1:11" s="2" customFormat="1" ht="15.6"/>
    <row r="6" spans="1:11" s="2" customFormat="1" ht="40.35" customHeight="1">
      <c r="A6" s="2" t="s">
        <v>251</v>
      </c>
    </row>
    <row r="7" spans="1:11" s="2" customFormat="1" ht="30.95">
      <c r="A7" s="7" t="s">
        <v>252</v>
      </c>
      <c r="B7" s="8" t="s">
        <v>63</v>
      </c>
      <c r="C7" s="8" t="s">
        <v>275</v>
      </c>
      <c r="D7" s="8" t="s">
        <v>276</v>
      </c>
      <c r="E7" s="8" t="s">
        <v>277</v>
      </c>
      <c r="F7" s="8" t="s">
        <v>278</v>
      </c>
      <c r="G7" s="8" t="s">
        <v>279</v>
      </c>
      <c r="H7" s="8" t="s">
        <v>280</v>
      </c>
      <c r="I7" s="2" t="s">
        <v>281</v>
      </c>
      <c r="J7" s="86" t="s">
        <v>282</v>
      </c>
    </row>
    <row r="8" spans="1:11" s="2" customFormat="1">
      <c r="A8" s="9" t="s">
        <v>256</v>
      </c>
      <c r="B8" s="10"/>
      <c r="C8" s="77" t="s">
        <v>100</v>
      </c>
      <c r="D8" s="77" t="s">
        <v>100</v>
      </c>
      <c r="E8" s="10">
        <v>1420</v>
      </c>
      <c r="F8" s="22"/>
      <c r="G8" s="22"/>
      <c r="H8" s="77" t="s">
        <v>283</v>
      </c>
      <c r="I8" s="2" t="s">
        <v>239</v>
      </c>
      <c r="J8" s="87" t="s">
        <v>284</v>
      </c>
    </row>
    <row r="9" spans="1:11" s="2" customFormat="1" ht="15.6" hidden="1">
      <c r="A9" s="9" t="s">
        <v>257</v>
      </c>
      <c r="B9" s="10">
        <v>8</v>
      </c>
      <c r="C9" s="10">
        <v>8</v>
      </c>
      <c r="D9" s="22"/>
      <c r="E9" s="10">
        <v>8</v>
      </c>
      <c r="F9" s="22"/>
      <c r="G9" s="22"/>
      <c r="H9" s="22"/>
      <c r="J9" s="86"/>
    </row>
    <row r="10" spans="1:11" s="2" customFormat="1">
      <c r="A10" s="211" t="s">
        <v>285</v>
      </c>
      <c r="B10" s="78" t="s">
        <v>286</v>
      </c>
      <c r="C10" s="77">
        <v>20180308</v>
      </c>
      <c r="D10" s="104" t="s">
        <v>287</v>
      </c>
      <c r="E10" s="77">
        <v>1421</v>
      </c>
      <c r="F10" s="77">
        <v>1</v>
      </c>
      <c r="G10" s="77">
        <v>2</v>
      </c>
      <c r="H10" s="77" t="s">
        <v>288</v>
      </c>
      <c r="J10" s="86"/>
    </row>
    <row r="11" spans="1:11" s="2" customFormat="1">
      <c r="A11" s="212"/>
      <c r="B11" s="78" t="s">
        <v>286</v>
      </c>
      <c r="C11" s="77">
        <v>20180308</v>
      </c>
      <c r="D11" s="104" t="s">
        <v>287</v>
      </c>
      <c r="E11" s="77">
        <v>1422</v>
      </c>
      <c r="F11" s="77">
        <v>1</v>
      </c>
      <c r="G11" s="82">
        <v>5</v>
      </c>
      <c r="H11" s="77" t="s">
        <v>288</v>
      </c>
      <c r="J11" s="86"/>
    </row>
    <row r="12" spans="1:11" s="2" customFormat="1" ht="30.95">
      <c r="A12" s="9" t="s">
        <v>289</v>
      </c>
      <c r="B12" s="78" t="s">
        <v>290</v>
      </c>
      <c r="C12" s="77">
        <v>20180228</v>
      </c>
      <c r="D12" s="77">
        <v>20181220</v>
      </c>
      <c r="E12" s="77">
        <v>12</v>
      </c>
      <c r="F12" s="77">
        <v>2</v>
      </c>
      <c r="G12" s="77">
        <v>6</v>
      </c>
      <c r="H12" s="77" t="s">
        <v>291</v>
      </c>
      <c r="J12" s="86"/>
    </row>
    <row r="13" spans="1:11" s="2" customFormat="1">
      <c r="A13" s="9" t="s">
        <v>292</v>
      </c>
      <c r="B13" s="78" t="s">
        <v>290</v>
      </c>
      <c r="C13" s="77">
        <v>20180228</v>
      </c>
      <c r="D13" s="104" t="s">
        <v>287</v>
      </c>
      <c r="E13" s="77">
        <v>1425</v>
      </c>
      <c r="F13" s="77">
        <v>1</v>
      </c>
      <c r="G13" s="77">
        <v>8</v>
      </c>
      <c r="H13" s="77" t="s">
        <v>291</v>
      </c>
      <c r="J13" s="86"/>
    </row>
    <row r="14" spans="1:11" s="2" customFormat="1" ht="15.6">
      <c r="K14" s="92" t="s">
        <v>293</v>
      </c>
    </row>
    <row r="15" spans="1:11" s="2" customFormat="1" ht="18">
      <c r="A15" s="52" t="s">
        <v>294</v>
      </c>
      <c r="K15" s="93"/>
    </row>
    <row r="16" spans="1:11" s="2" customFormat="1" ht="18">
      <c r="A16" s="52" t="s">
        <v>266</v>
      </c>
      <c r="K16" s="93"/>
    </row>
    <row r="17" spans="1:11">
      <c r="K17" s="93"/>
    </row>
    <row r="19" spans="1:11">
      <c r="A19" t="s">
        <v>295</v>
      </c>
    </row>
    <row r="20" spans="1:11">
      <c r="A20" t="s">
        <v>296</v>
      </c>
    </row>
    <row r="21" spans="1:11">
      <c r="A21" t="s">
        <v>297</v>
      </c>
    </row>
    <row r="22" spans="1:11">
      <c r="A22" t="s">
        <v>298</v>
      </c>
    </row>
    <row r="23" spans="1:11">
      <c r="D23">
        <v>2</v>
      </c>
    </row>
    <row r="24" spans="1:11" s="2" customFormat="1" ht="15.6">
      <c r="A24" s="31" t="s">
        <v>299</v>
      </c>
    </row>
    <row r="25" spans="1:11" s="2" customFormat="1" ht="15.6"/>
    <row r="26" spans="1:11" s="2" customFormat="1" ht="15.6"/>
    <row r="27" spans="1:11" s="2" customFormat="1" ht="15.6"/>
  </sheetData>
  <mergeCells count="1">
    <mergeCell ref="A10:A11"/>
  </mergeCells>
  <phoneticPr fontId="1" type="noConversion"/>
  <hyperlinks>
    <hyperlink ref="A1" location="目錄!A1" display="返回" xr:uid="{00000000-0004-0000-0700-000000000000}"/>
  </hyperlinks>
  <pageMargins left="0.7" right="0.7" top="0.75" bottom="0.75" header="0.3" footer="0.3"/>
  <pageSetup paperSize="9" orientation="portrait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工作表9">
    <tabColor theme="5" tint="0.39997558519241921"/>
  </sheetPr>
  <dimension ref="A1:K30"/>
  <sheetViews>
    <sheetView zoomScale="90" zoomScaleNormal="90" workbookViewId="0">
      <pane ySplit="1" topLeftCell="A7" activePane="bottomLeft" state="frozen"/>
      <selection pane="bottomLeft" activeCell="F46" sqref="F46"/>
    </sheetView>
  </sheetViews>
  <sheetFormatPr defaultColWidth="14.5" defaultRowHeight="15.6"/>
  <cols>
    <col min="1" max="1" width="17.5" style="2" customWidth="1"/>
    <col min="2" max="2" width="19.875" style="2" customWidth="1"/>
    <col min="3" max="3" width="14.125" style="2" customWidth="1"/>
    <col min="4" max="4" width="14.375" style="2" bestFit="1" customWidth="1"/>
    <col min="5" max="7" width="14.125" style="2" bestFit="1" customWidth="1"/>
    <col min="8" max="8" width="18.875" style="2" customWidth="1"/>
    <col min="9" max="16384" width="14.5" style="2"/>
  </cols>
  <sheetData>
    <row r="1" spans="1:11" ht="21.95" thickBot="1">
      <c r="A1" s="1" t="s">
        <v>38</v>
      </c>
    </row>
    <row r="3" spans="1:11" s="6" customFormat="1">
      <c r="A3" s="3" t="s">
        <v>42</v>
      </c>
      <c r="B3" s="4" t="s">
        <v>300</v>
      </c>
      <c r="C3" s="2"/>
    </row>
    <row r="4" spans="1:11" s="6" customFormat="1">
      <c r="A4" s="3" t="s">
        <v>44</v>
      </c>
      <c r="B4" s="4" t="s">
        <v>301</v>
      </c>
      <c r="C4" s="2"/>
    </row>
    <row r="5" spans="1:11" s="6" customFormat="1" ht="13.5">
      <c r="G5" s="62"/>
    </row>
    <row r="6" spans="1:11" ht="30.95">
      <c r="A6" s="22" t="s">
        <v>252</v>
      </c>
      <c r="B6" s="26" t="s">
        <v>302</v>
      </c>
      <c r="C6" s="26" t="s">
        <v>303</v>
      </c>
      <c r="D6" s="26" t="s">
        <v>304</v>
      </c>
      <c r="E6" s="26" t="s">
        <v>305</v>
      </c>
      <c r="F6" s="26" t="s">
        <v>306</v>
      </c>
      <c r="G6" s="26" t="s">
        <v>307</v>
      </c>
      <c r="H6" s="26" t="s">
        <v>308</v>
      </c>
      <c r="I6" s="2" t="s">
        <v>281</v>
      </c>
      <c r="J6" s="2" t="s">
        <v>309</v>
      </c>
      <c r="K6" s="86" t="s">
        <v>282</v>
      </c>
    </row>
    <row r="7" spans="1:11">
      <c r="A7" s="9" t="s">
        <v>258</v>
      </c>
      <c r="B7" s="27" t="s">
        <v>259</v>
      </c>
      <c r="C7" s="27" t="s">
        <v>259</v>
      </c>
      <c r="D7" s="27" t="s">
        <v>259</v>
      </c>
      <c r="E7" s="27" t="s">
        <v>259</v>
      </c>
      <c r="F7" s="27" t="s">
        <v>310</v>
      </c>
      <c r="G7" s="27" t="s">
        <v>310</v>
      </c>
      <c r="H7" s="27" t="s">
        <v>259</v>
      </c>
      <c r="I7" s="2" t="s">
        <v>239</v>
      </c>
      <c r="J7" s="2" t="s">
        <v>311</v>
      </c>
      <c r="K7" s="87" t="s">
        <v>284</v>
      </c>
    </row>
    <row r="8" spans="1:11" hidden="1">
      <c r="A8" s="9" t="s">
        <v>257</v>
      </c>
      <c r="B8" s="27">
        <v>8</v>
      </c>
      <c r="C8" s="27">
        <v>2</v>
      </c>
      <c r="D8" s="27">
        <v>8</v>
      </c>
      <c r="E8" s="27">
        <v>8</v>
      </c>
      <c r="F8" s="27">
        <v>5</v>
      </c>
      <c r="G8" s="27">
        <v>5</v>
      </c>
      <c r="H8" s="27">
        <v>4</v>
      </c>
    </row>
    <row r="9" spans="1:11">
      <c r="A9" s="9" t="s">
        <v>312</v>
      </c>
      <c r="B9" s="27">
        <v>10004617</v>
      </c>
      <c r="C9" s="27">
        <v>15</v>
      </c>
      <c r="D9" s="27">
        <v>20120320</v>
      </c>
      <c r="E9" s="27">
        <v>20120320</v>
      </c>
      <c r="F9" s="27" t="s">
        <v>313</v>
      </c>
      <c r="G9" s="27" t="s">
        <v>314</v>
      </c>
      <c r="H9" s="27">
        <v>2.5</v>
      </c>
    </row>
    <row r="10" spans="1:11">
      <c r="A10" s="9" t="s">
        <v>312</v>
      </c>
      <c r="B10" s="27" t="s">
        <v>315</v>
      </c>
      <c r="C10" s="27">
        <v>15</v>
      </c>
      <c r="D10" s="27" t="s">
        <v>316</v>
      </c>
      <c r="E10" s="27" t="s">
        <v>316</v>
      </c>
      <c r="F10" s="27" t="s">
        <v>317</v>
      </c>
      <c r="G10" s="27" t="s">
        <v>318</v>
      </c>
      <c r="H10" s="27" t="s">
        <v>319</v>
      </c>
    </row>
    <row r="11" spans="1:11">
      <c r="A11" s="9" t="s">
        <v>312</v>
      </c>
      <c r="B11" s="27" t="s">
        <v>315</v>
      </c>
      <c r="C11" s="27">
        <v>15</v>
      </c>
      <c r="D11" s="27">
        <v>20120320</v>
      </c>
      <c r="E11" s="27">
        <v>20120320</v>
      </c>
      <c r="F11" s="27" t="s">
        <v>320</v>
      </c>
      <c r="G11" s="27" t="s">
        <v>321</v>
      </c>
      <c r="H11" s="27" t="s">
        <v>322</v>
      </c>
    </row>
    <row r="12" spans="1:11">
      <c r="A12" s="9" t="s">
        <v>323</v>
      </c>
      <c r="B12" s="27" t="s">
        <v>324</v>
      </c>
      <c r="C12" s="27"/>
      <c r="D12" s="27" t="s">
        <v>316</v>
      </c>
      <c r="E12" s="27" t="s">
        <v>316</v>
      </c>
      <c r="F12" s="27" t="s">
        <v>325</v>
      </c>
      <c r="G12" s="27" t="s">
        <v>326</v>
      </c>
      <c r="H12" s="27" t="s">
        <v>327</v>
      </c>
    </row>
    <row r="13" spans="1:11">
      <c r="A13" s="9" t="s">
        <v>328</v>
      </c>
      <c r="B13" s="27" t="s">
        <v>324</v>
      </c>
      <c r="C13" s="27" t="s">
        <v>329</v>
      </c>
      <c r="D13" s="27" t="s">
        <v>330</v>
      </c>
      <c r="E13" s="27" t="s">
        <v>330</v>
      </c>
      <c r="F13" s="27" t="s">
        <v>325</v>
      </c>
      <c r="G13" s="27" t="s">
        <v>331</v>
      </c>
      <c r="H13" s="27" t="s">
        <v>332</v>
      </c>
    </row>
    <row r="14" spans="1:11">
      <c r="A14" s="9" t="s">
        <v>262</v>
      </c>
      <c r="B14" s="28"/>
      <c r="C14" s="27" t="s">
        <v>333</v>
      </c>
      <c r="D14" s="27" t="s">
        <v>334</v>
      </c>
      <c r="E14" s="27" t="s">
        <v>335</v>
      </c>
      <c r="F14" s="27" t="s">
        <v>336</v>
      </c>
      <c r="G14" s="27" t="s">
        <v>337</v>
      </c>
      <c r="H14" s="29"/>
    </row>
    <row r="15" spans="1:11">
      <c r="F15" s="2" t="s">
        <v>338</v>
      </c>
      <c r="G15" s="2" t="s">
        <v>339</v>
      </c>
    </row>
    <row r="16" spans="1:11">
      <c r="A16" s="31" t="s">
        <v>266</v>
      </c>
      <c r="E16" s="24"/>
      <c r="F16" s="24"/>
      <c r="G16" s="24"/>
      <c r="H16" s="24"/>
    </row>
    <row r="17" spans="1:8" ht="16.350000000000001" customHeight="1">
      <c r="A17" s="31"/>
      <c r="E17" s="24"/>
      <c r="F17" s="24"/>
      <c r="G17" s="24"/>
      <c r="H17" s="24"/>
    </row>
    <row r="18" spans="1:8" hidden="1">
      <c r="A18" s="25"/>
      <c r="B18" s="25"/>
      <c r="C18" s="32">
        <v>43060</v>
      </c>
      <c r="D18" s="32">
        <v>43061</v>
      </c>
      <c r="E18" s="30">
        <v>0.91666666666666663</v>
      </c>
      <c r="F18" s="30">
        <v>8.3333333333333329E-2</v>
      </c>
      <c r="G18" s="2">
        <v>4</v>
      </c>
    </row>
    <row r="19" spans="1:8" hidden="1">
      <c r="A19" s="25"/>
      <c r="B19" s="84" t="s">
        <v>156</v>
      </c>
      <c r="C19" s="89">
        <v>43060</v>
      </c>
      <c r="D19" s="89">
        <v>43060</v>
      </c>
      <c r="E19" s="90">
        <v>0.91666666666666663</v>
      </c>
      <c r="F19" s="90">
        <v>1</v>
      </c>
      <c r="G19" s="91">
        <v>2</v>
      </c>
    </row>
    <row r="20" spans="1:8" hidden="1">
      <c r="A20" s="25"/>
      <c r="B20" s="25"/>
      <c r="C20" s="89">
        <v>43061</v>
      </c>
      <c r="D20" s="89">
        <v>43061</v>
      </c>
      <c r="E20" s="90">
        <v>0</v>
      </c>
      <c r="F20" s="90">
        <v>8.3333333333333329E-2</v>
      </c>
      <c r="G20" s="91">
        <v>2</v>
      </c>
    </row>
    <row r="21" spans="1:8" hidden="1">
      <c r="A21" s="25"/>
      <c r="B21" s="25"/>
      <c r="C21" s="32">
        <v>43062</v>
      </c>
      <c r="D21" s="32">
        <v>43064</v>
      </c>
      <c r="E21" s="30">
        <v>0.33333333333333331</v>
      </c>
      <c r="F21" s="30">
        <v>0.70833333333333337</v>
      </c>
      <c r="G21" s="2">
        <v>24</v>
      </c>
    </row>
    <row r="22" spans="1:8" hidden="1">
      <c r="B22" s="84" t="s">
        <v>156</v>
      </c>
      <c r="C22" s="89">
        <v>43062</v>
      </c>
      <c r="D22" s="89">
        <v>43062</v>
      </c>
      <c r="E22" s="90">
        <v>0.33333333333333331</v>
      </c>
      <c r="F22" s="90">
        <v>0.70833333333333337</v>
      </c>
      <c r="G22" s="91">
        <v>8</v>
      </c>
    </row>
    <row r="23" spans="1:8" hidden="1">
      <c r="C23" s="89">
        <v>43063</v>
      </c>
      <c r="D23" s="89">
        <v>43063</v>
      </c>
      <c r="E23" s="90">
        <v>0.33333333333333331</v>
      </c>
      <c r="F23" s="90">
        <v>0.70833333333333337</v>
      </c>
      <c r="G23" s="91">
        <v>8</v>
      </c>
    </row>
    <row r="24" spans="1:8" hidden="1">
      <c r="C24" s="89">
        <v>43064</v>
      </c>
      <c r="D24" s="89">
        <v>43064</v>
      </c>
      <c r="E24" s="90">
        <v>0.33333333333333331</v>
      </c>
      <c r="F24" s="90">
        <v>0.70833333333333337</v>
      </c>
      <c r="G24" s="91">
        <v>8</v>
      </c>
    </row>
    <row r="26" spans="1:8">
      <c r="A26" s="84" t="s">
        <v>340</v>
      </c>
    </row>
    <row r="27" spans="1:8">
      <c r="A27" s="2" t="s">
        <v>341</v>
      </c>
    </row>
    <row r="28" spans="1:8">
      <c r="A28" s="2" t="s">
        <v>342</v>
      </c>
    </row>
    <row r="29" spans="1:8">
      <c r="A29" s="2" t="s">
        <v>343</v>
      </c>
    </row>
    <row r="30" spans="1:8">
      <c r="A30" s="2" t="s">
        <v>344</v>
      </c>
    </row>
  </sheetData>
  <phoneticPr fontId="1" type="noConversion"/>
  <hyperlinks>
    <hyperlink ref="A1" location="目錄!A1" display="返回" xr:uid="{00000000-0004-0000-0800-000000000000}"/>
  </hyperlinks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工作表10">
    <tabColor theme="1"/>
  </sheetPr>
  <dimension ref="A1:A11"/>
  <sheetViews>
    <sheetView workbookViewId="0">
      <selection activeCell="M25" sqref="M25"/>
    </sheetView>
  </sheetViews>
  <sheetFormatPr defaultRowHeight="17.100000000000001"/>
  <sheetData>
    <row r="1" spans="1:1">
      <c r="A1" t="s">
        <v>345</v>
      </c>
    </row>
    <row r="2" spans="1:1">
      <c r="A2" t="s">
        <v>346</v>
      </c>
    </row>
    <row r="3" spans="1:1">
      <c r="A3" s="88" t="s">
        <v>347</v>
      </c>
    </row>
    <row r="6" spans="1:1">
      <c r="A6" s="102" t="s">
        <v>348</v>
      </c>
    </row>
    <row r="7" spans="1:1">
      <c r="A7" s="103" t="s">
        <v>349</v>
      </c>
    </row>
    <row r="8" spans="1:1">
      <c r="A8" s="103" t="s">
        <v>350</v>
      </c>
    </row>
    <row r="9" spans="1:1">
      <c r="A9" s="103"/>
    </row>
    <row r="10" spans="1:1">
      <c r="A10" s="103" t="s">
        <v>351</v>
      </c>
    </row>
    <row r="11" spans="1:1">
      <c r="A11" s="103" t="s">
        <v>352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工作表14">
    <tabColor theme="1"/>
  </sheetPr>
  <dimension ref="A1:F10"/>
  <sheetViews>
    <sheetView zoomScaleNormal="100" workbookViewId="0">
      <pane ySplit="1" topLeftCell="A9" activePane="bottomLeft" state="frozen"/>
      <selection pane="bottomLeft" activeCell="F5" sqref="F5"/>
    </sheetView>
  </sheetViews>
  <sheetFormatPr defaultRowHeight="17.100000000000001"/>
  <cols>
    <col min="3" max="3" width="61.625" customWidth="1"/>
    <col min="4" max="4" width="24.5" customWidth="1"/>
    <col min="5" max="5" width="13.875" customWidth="1"/>
    <col min="6" max="6" width="26.125" customWidth="1"/>
  </cols>
  <sheetData>
    <row r="1" spans="1:6">
      <c r="A1" s="113" t="s">
        <v>353</v>
      </c>
      <c r="B1" s="113" t="s">
        <v>105</v>
      </c>
      <c r="C1" s="113" t="s">
        <v>354</v>
      </c>
      <c r="D1" s="113"/>
      <c r="E1" s="113" t="s">
        <v>355</v>
      </c>
      <c r="F1" s="113" t="s">
        <v>356</v>
      </c>
    </row>
    <row r="2" spans="1:6" ht="33.950000000000003">
      <c r="A2" s="77" t="s">
        <v>357</v>
      </c>
      <c r="B2" s="77" t="s">
        <v>358</v>
      </c>
      <c r="C2" s="106" t="s">
        <v>359</v>
      </c>
      <c r="D2" s="107" t="s">
        <v>360</v>
      </c>
      <c r="E2" s="108" t="s">
        <v>361</v>
      </c>
      <c r="F2" s="107" t="s">
        <v>362</v>
      </c>
    </row>
    <row r="3" spans="1:6" ht="119.1">
      <c r="A3" s="77" t="s">
        <v>363</v>
      </c>
      <c r="B3" s="77" t="s">
        <v>364</v>
      </c>
      <c r="C3" s="107" t="s">
        <v>365</v>
      </c>
      <c r="D3" s="77"/>
      <c r="E3" s="108" t="s">
        <v>366</v>
      </c>
      <c r="F3" s="107" t="s">
        <v>367</v>
      </c>
    </row>
    <row r="4" spans="1:6" ht="170.1">
      <c r="A4" s="77" t="s">
        <v>363</v>
      </c>
      <c r="B4" s="77" t="s">
        <v>368</v>
      </c>
      <c r="C4" s="106" t="s">
        <v>369</v>
      </c>
      <c r="D4" s="77"/>
      <c r="E4" s="108"/>
      <c r="F4" s="107" t="s">
        <v>370</v>
      </c>
    </row>
    <row r="5" spans="1:6" s="105" customFormat="1">
      <c r="A5" s="109" t="s">
        <v>363</v>
      </c>
      <c r="B5" s="109"/>
      <c r="C5" s="109" t="s">
        <v>371</v>
      </c>
      <c r="D5" s="110" t="s">
        <v>372</v>
      </c>
      <c r="E5" s="115"/>
      <c r="F5" s="109"/>
    </row>
    <row r="6" spans="1:6" ht="33.950000000000003">
      <c r="A6" s="77" t="s">
        <v>363</v>
      </c>
      <c r="B6" s="77" t="s">
        <v>373</v>
      </c>
      <c r="C6" s="107" t="s">
        <v>374</v>
      </c>
      <c r="D6" s="77"/>
      <c r="E6" s="108" t="s">
        <v>375</v>
      </c>
      <c r="F6" s="77" t="s">
        <v>376</v>
      </c>
    </row>
    <row r="7" spans="1:6" ht="102">
      <c r="A7" s="77" t="s">
        <v>363</v>
      </c>
      <c r="B7" s="77" t="s">
        <v>373</v>
      </c>
      <c r="C7" s="111" t="s">
        <v>377</v>
      </c>
      <c r="D7" s="77"/>
      <c r="E7" s="108" t="s">
        <v>378</v>
      </c>
      <c r="F7" s="107" t="s">
        <v>379</v>
      </c>
    </row>
    <row r="8" spans="1:6" s="105" customFormat="1" ht="33.950000000000003">
      <c r="A8" s="109" t="s">
        <v>363</v>
      </c>
      <c r="B8" s="109"/>
      <c r="C8" s="112" t="s">
        <v>380</v>
      </c>
      <c r="D8" s="112" t="s">
        <v>381</v>
      </c>
      <c r="E8" s="109"/>
      <c r="F8" s="109"/>
    </row>
    <row r="9" spans="1:6" ht="84.95">
      <c r="A9" s="77" t="s">
        <v>363</v>
      </c>
      <c r="B9" s="77" t="s">
        <v>382</v>
      </c>
      <c r="C9" s="77" t="s">
        <v>383</v>
      </c>
      <c r="D9" s="77"/>
      <c r="E9" s="108" t="s">
        <v>384</v>
      </c>
      <c r="F9" s="77"/>
    </row>
    <row r="10" spans="1:6" s="83" customFormat="1" ht="68.099999999999994">
      <c r="A10" s="109" t="s">
        <v>363</v>
      </c>
      <c r="B10" s="114"/>
      <c r="C10" s="114" t="s">
        <v>385</v>
      </c>
      <c r="D10" s="112" t="s">
        <v>386</v>
      </c>
      <c r="E10" s="108" t="s">
        <v>375</v>
      </c>
      <c r="F10" s="114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工作表11">
    <tabColor theme="1"/>
  </sheetPr>
  <dimension ref="A1:E29"/>
  <sheetViews>
    <sheetView topLeftCell="A13" workbookViewId="0">
      <selection activeCell="I46" sqref="I46"/>
    </sheetView>
  </sheetViews>
  <sheetFormatPr defaultColWidth="9" defaultRowHeight="13.5"/>
  <cols>
    <col min="1" max="1" width="12.875" style="6" bestFit="1" customWidth="1"/>
    <col min="2" max="2" width="11.375" style="6" bestFit="1" customWidth="1"/>
    <col min="3" max="3" width="39.5" style="6" bestFit="1" customWidth="1"/>
    <col min="4" max="4" width="9" style="6"/>
    <col min="5" max="5" width="20.125" style="6" customWidth="1"/>
    <col min="6" max="16384" width="9" style="6"/>
  </cols>
  <sheetData>
    <row r="1" spans="1:5" s="2" customFormat="1" ht="21.95" thickBot="1">
      <c r="A1" s="1" t="s">
        <v>38</v>
      </c>
      <c r="E1" s="2" t="s">
        <v>387</v>
      </c>
    </row>
    <row r="2" spans="1:5" s="2" customFormat="1" ht="15.6"/>
    <row r="3" spans="1:5" ht="16.5" customHeight="1">
      <c r="A3" s="199" t="s">
        <v>42</v>
      </c>
      <c r="B3" s="200"/>
      <c r="C3" s="5" t="s">
        <v>388</v>
      </c>
      <c r="D3" s="51"/>
    </row>
    <row r="4" spans="1:5">
      <c r="A4" s="199" t="s">
        <v>44</v>
      </c>
      <c r="B4" s="200"/>
      <c r="C4" s="5" t="s">
        <v>389</v>
      </c>
    </row>
    <row r="5" spans="1:5">
      <c r="A5" s="46"/>
      <c r="C5" s="48"/>
    </row>
    <row r="6" spans="1:5">
      <c r="A6" s="46" t="s">
        <v>46</v>
      </c>
      <c r="B6" s="46"/>
      <c r="C6" s="46" t="s">
        <v>47</v>
      </c>
    </row>
    <row r="7" spans="1:5">
      <c r="A7" s="45" t="s">
        <v>48</v>
      </c>
      <c r="B7" s="44" t="s">
        <v>49</v>
      </c>
      <c r="C7" s="43" t="s">
        <v>50</v>
      </c>
      <c r="D7" s="43" t="s">
        <v>51</v>
      </c>
      <c r="E7" s="35"/>
    </row>
    <row r="8" spans="1:5">
      <c r="A8" s="6" t="s">
        <v>52</v>
      </c>
      <c r="B8" s="80">
        <v>10</v>
      </c>
      <c r="C8" s="74" t="s">
        <v>390</v>
      </c>
      <c r="D8" s="41" t="s">
        <v>54</v>
      </c>
      <c r="E8" s="35"/>
    </row>
    <row r="9" spans="1:5">
      <c r="A9" s="41" t="s">
        <v>55</v>
      </c>
      <c r="B9" s="41">
        <v>8</v>
      </c>
      <c r="C9" s="41" t="s">
        <v>56</v>
      </c>
      <c r="D9" s="41" t="s">
        <v>54</v>
      </c>
      <c r="E9" s="35" t="s">
        <v>117</v>
      </c>
    </row>
    <row r="10" spans="1:5" s="47" customFormat="1">
      <c r="A10" s="41" t="s">
        <v>118</v>
      </c>
      <c r="B10" s="41">
        <v>8</v>
      </c>
      <c r="C10" s="41" t="s">
        <v>119</v>
      </c>
      <c r="D10" s="41" t="s">
        <v>54</v>
      </c>
      <c r="E10" s="35" t="s">
        <v>120</v>
      </c>
    </row>
    <row r="11" spans="1:5">
      <c r="A11" s="41" t="s">
        <v>58</v>
      </c>
      <c r="B11" s="41">
        <v>8</v>
      </c>
      <c r="C11" s="41" t="s">
        <v>58</v>
      </c>
      <c r="D11" s="41" t="s">
        <v>59</v>
      </c>
      <c r="E11" s="35" t="s">
        <v>60</v>
      </c>
    </row>
    <row r="12" spans="1:5">
      <c r="A12" s="5" t="s">
        <v>44</v>
      </c>
      <c r="B12" s="213"/>
      <c r="C12" s="214"/>
      <c r="D12" s="215"/>
      <c r="E12" s="35"/>
    </row>
    <row r="13" spans="1:5">
      <c r="A13" s="46"/>
      <c r="B13" s="46"/>
      <c r="C13" s="46"/>
      <c r="E13" s="35"/>
    </row>
    <row r="14" spans="1:5">
      <c r="A14" s="46" t="s">
        <v>62</v>
      </c>
      <c r="B14" s="46"/>
      <c r="C14" s="46" t="s">
        <v>47</v>
      </c>
      <c r="E14" s="35"/>
    </row>
    <row r="15" spans="1:5">
      <c r="A15" s="45" t="s">
        <v>48</v>
      </c>
      <c r="B15" s="44"/>
      <c r="C15" s="43" t="s">
        <v>50</v>
      </c>
      <c r="D15" s="43" t="s">
        <v>51</v>
      </c>
      <c r="E15" s="35"/>
    </row>
    <row r="16" spans="1:5">
      <c r="A16" s="41" t="s">
        <v>63</v>
      </c>
      <c r="B16" s="41"/>
      <c r="C16" s="41" t="s">
        <v>54</v>
      </c>
      <c r="D16" s="41" t="s">
        <v>54</v>
      </c>
      <c r="E16" s="35" t="s">
        <v>122</v>
      </c>
    </row>
    <row r="17" spans="1:5" customFormat="1" ht="17.100000000000001">
      <c r="A17" s="41" t="s">
        <v>391</v>
      </c>
      <c r="B17" s="77"/>
      <c r="C17" s="41" t="s">
        <v>392</v>
      </c>
      <c r="D17" s="41" t="s">
        <v>54</v>
      </c>
      <c r="E17" s="35" t="s">
        <v>393</v>
      </c>
    </row>
    <row r="18" spans="1:5" customFormat="1" ht="17.100000000000001">
      <c r="A18" s="41" t="s">
        <v>394</v>
      </c>
      <c r="B18" s="77"/>
      <c r="C18" s="41" t="s">
        <v>395</v>
      </c>
      <c r="D18" s="41" t="s">
        <v>54</v>
      </c>
      <c r="E18" s="35" t="s">
        <v>396</v>
      </c>
    </row>
    <row r="19" spans="1:5">
      <c r="A19" s="41" t="s">
        <v>125</v>
      </c>
      <c r="B19" s="41"/>
      <c r="C19" s="41" t="s">
        <v>126</v>
      </c>
      <c r="D19" s="41" t="s">
        <v>54</v>
      </c>
      <c r="E19" s="35" t="s">
        <v>117</v>
      </c>
    </row>
    <row r="20" spans="1:5">
      <c r="A20" s="41" t="s">
        <v>127</v>
      </c>
      <c r="B20" s="41"/>
      <c r="C20" s="41" t="s">
        <v>128</v>
      </c>
      <c r="D20" s="41" t="s">
        <v>54</v>
      </c>
      <c r="E20" s="35" t="s">
        <v>129</v>
      </c>
    </row>
    <row r="21" spans="1:5" s="39" customFormat="1">
      <c r="A21" s="41" t="s">
        <v>397</v>
      </c>
      <c r="B21" s="41"/>
      <c r="C21" s="41" t="s">
        <v>139</v>
      </c>
      <c r="D21" s="41" t="s">
        <v>54</v>
      </c>
      <c r="E21" s="35" t="s">
        <v>398</v>
      </c>
    </row>
    <row r="22" spans="1:5" s="39" customFormat="1">
      <c r="A22" s="41" t="s">
        <v>399</v>
      </c>
      <c r="B22" s="41"/>
      <c r="C22" s="41" t="s">
        <v>139</v>
      </c>
      <c r="D22" s="41" t="s">
        <v>54</v>
      </c>
      <c r="E22" s="35" t="s">
        <v>400</v>
      </c>
    </row>
    <row r="23" spans="1:5" s="39" customFormat="1">
      <c r="A23" s="41" t="s">
        <v>401</v>
      </c>
      <c r="B23" s="41"/>
      <c r="C23" s="41" t="s">
        <v>139</v>
      </c>
      <c r="D23" s="41" t="s">
        <v>54</v>
      </c>
      <c r="E23" s="35" t="s">
        <v>402</v>
      </c>
    </row>
    <row r="24" spans="1:5">
      <c r="A24" s="5" t="s">
        <v>44</v>
      </c>
      <c r="B24" s="208"/>
      <c r="C24" s="209"/>
      <c r="D24" s="210"/>
      <c r="E24" s="50"/>
    </row>
    <row r="26" spans="1:5">
      <c r="A26" s="5" t="s">
        <v>68</v>
      </c>
      <c r="B26" s="34" t="s">
        <v>69</v>
      </c>
    </row>
    <row r="27" spans="1:5">
      <c r="A27" s="5" t="s">
        <v>70</v>
      </c>
      <c r="B27" s="5" t="s">
        <v>71</v>
      </c>
    </row>
    <row r="28" spans="1:5">
      <c r="A28" s="5" t="s">
        <v>72</v>
      </c>
      <c r="B28" s="5" t="s">
        <v>73</v>
      </c>
    </row>
    <row r="29" spans="1:5">
      <c r="A29" s="5" t="s">
        <v>74</v>
      </c>
      <c r="B29" s="5" t="s">
        <v>73</v>
      </c>
    </row>
  </sheetData>
  <mergeCells count="4">
    <mergeCell ref="A3:B3"/>
    <mergeCell ref="A4:B4"/>
    <mergeCell ref="B12:D12"/>
    <mergeCell ref="B24:D24"/>
  </mergeCells>
  <phoneticPr fontId="1" type="noConversion"/>
  <hyperlinks>
    <hyperlink ref="A1" location="目錄!A1" display="返回" xr:uid="{00000000-0004-0000-0A00-000000000000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工作表13">
    <tabColor theme="1"/>
  </sheetPr>
  <dimension ref="A1:G29"/>
  <sheetViews>
    <sheetView topLeftCell="A13" workbookViewId="0">
      <selection activeCell="J37" sqref="J37"/>
    </sheetView>
  </sheetViews>
  <sheetFormatPr defaultColWidth="14.5" defaultRowHeight="15.6"/>
  <cols>
    <col min="1" max="1" width="14.5" style="2"/>
    <col min="2" max="2" width="19.875" style="2" customWidth="1"/>
    <col min="3" max="3" width="10.5" style="2" bestFit="1" customWidth="1"/>
    <col min="4" max="4" width="12.875" style="2" bestFit="1" customWidth="1"/>
    <col min="5" max="6" width="14.125" style="2" bestFit="1" customWidth="1"/>
    <col min="7" max="16384" width="14.5" style="2"/>
  </cols>
  <sheetData>
    <row r="1" spans="1:7" ht="21.95" thickBot="1">
      <c r="A1" s="1" t="s">
        <v>38</v>
      </c>
    </row>
    <row r="3" spans="1:7" s="6" customFormat="1">
      <c r="A3" s="3" t="s">
        <v>42</v>
      </c>
      <c r="B3" s="4" t="s">
        <v>403</v>
      </c>
      <c r="C3" s="100"/>
      <c r="D3" s="2"/>
    </row>
    <row r="4" spans="1:7" s="6" customFormat="1">
      <c r="A4" s="3" t="s">
        <v>44</v>
      </c>
      <c r="B4" s="4"/>
      <c r="C4" s="100"/>
      <c r="D4" s="2"/>
    </row>
    <row r="5" spans="1:7">
      <c r="A5" s="2" t="s">
        <v>404</v>
      </c>
    </row>
    <row r="6" spans="1:7">
      <c r="A6" s="22" t="s">
        <v>252</v>
      </c>
      <c r="B6" s="26" t="s">
        <v>302</v>
      </c>
      <c r="C6" s="26" t="s">
        <v>405</v>
      </c>
      <c r="D6" s="26" t="s">
        <v>406</v>
      </c>
      <c r="E6" s="26" t="s">
        <v>407</v>
      </c>
      <c r="F6" s="26" t="s">
        <v>408</v>
      </c>
      <c r="G6" s="26" t="s">
        <v>409</v>
      </c>
    </row>
    <row r="7" spans="1:7">
      <c r="A7" s="9" t="s">
        <v>258</v>
      </c>
      <c r="B7" s="27" t="s">
        <v>259</v>
      </c>
      <c r="C7" s="27" t="s">
        <v>410</v>
      </c>
      <c r="D7" s="27" t="s">
        <v>259</v>
      </c>
      <c r="E7" s="27" t="s">
        <v>259</v>
      </c>
      <c r="F7" s="27" t="s">
        <v>259</v>
      </c>
      <c r="G7" s="27" t="s">
        <v>259</v>
      </c>
    </row>
    <row r="8" spans="1:7" hidden="1">
      <c r="A8" s="9" t="s">
        <v>257</v>
      </c>
      <c r="B8" s="27">
        <v>8</v>
      </c>
      <c r="C8" s="27"/>
      <c r="D8" s="27">
        <v>8</v>
      </c>
      <c r="E8" s="27">
        <v>8</v>
      </c>
      <c r="F8" s="27">
        <v>8</v>
      </c>
    </row>
    <row r="9" spans="1:7">
      <c r="A9" s="9" t="s">
        <v>312</v>
      </c>
      <c r="B9" s="27">
        <v>10004617</v>
      </c>
      <c r="C9" s="27" t="s">
        <v>319</v>
      </c>
      <c r="D9" s="27">
        <v>20120320</v>
      </c>
      <c r="E9" s="27">
        <v>20120320</v>
      </c>
      <c r="F9" s="27"/>
      <c r="G9" s="27"/>
    </row>
    <row r="10" spans="1:7">
      <c r="A10" s="9" t="s">
        <v>312</v>
      </c>
      <c r="B10" s="27" t="s">
        <v>315</v>
      </c>
      <c r="C10" s="27" t="s">
        <v>319</v>
      </c>
      <c r="D10" s="27">
        <v>20120320</v>
      </c>
      <c r="E10" s="27">
        <v>20120320</v>
      </c>
      <c r="F10" s="27"/>
      <c r="G10" s="27"/>
    </row>
    <row r="11" spans="1:7">
      <c r="A11" s="9" t="s">
        <v>312</v>
      </c>
      <c r="B11" s="27" t="s">
        <v>315</v>
      </c>
      <c r="C11" s="27" t="s">
        <v>319</v>
      </c>
      <c r="D11" s="27" t="s">
        <v>411</v>
      </c>
      <c r="E11" s="27">
        <v>20120320</v>
      </c>
      <c r="F11" s="27"/>
      <c r="G11" s="27"/>
    </row>
    <row r="12" spans="1:7">
      <c r="A12" s="9" t="s">
        <v>262</v>
      </c>
      <c r="B12" s="28"/>
      <c r="C12" s="28"/>
      <c r="D12" s="27"/>
      <c r="E12" s="27"/>
      <c r="F12" s="27"/>
      <c r="G12" s="27"/>
    </row>
    <row r="15" spans="1:7" s="31" customFormat="1">
      <c r="A15" s="31" t="s">
        <v>412</v>
      </c>
    </row>
    <row r="17" spans="1:3">
      <c r="A17" s="101" t="s">
        <v>413</v>
      </c>
      <c r="B17" s="31" t="s">
        <v>414</v>
      </c>
      <c r="C17" s="31"/>
    </row>
    <row r="18" spans="1:3">
      <c r="A18" s="81" t="s">
        <v>415</v>
      </c>
    </row>
    <row r="19" spans="1:3">
      <c r="A19" s="81" t="s">
        <v>416</v>
      </c>
    </row>
    <row r="20" spans="1:3">
      <c r="A20" s="81" t="s">
        <v>417</v>
      </c>
    </row>
    <row r="21" spans="1:3">
      <c r="A21" s="81" t="s">
        <v>418</v>
      </c>
    </row>
    <row r="22" spans="1:3">
      <c r="A22" s="81" t="s">
        <v>419</v>
      </c>
    </row>
    <row r="23" spans="1:3">
      <c r="A23" s="81" t="s">
        <v>420</v>
      </c>
    </row>
    <row r="24" spans="1:3">
      <c r="A24" s="81" t="s">
        <v>421</v>
      </c>
    </row>
    <row r="25" spans="1:3">
      <c r="A25" s="81" t="s">
        <v>422</v>
      </c>
    </row>
    <row r="26" spans="1:3">
      <c r="A26" s="81" t="s">
        <v>423</v>
      </c>
    </row>
    <row r="27" spans="1:3">
      <c r="A27" s="81" t="s">
        <v>424</v>
      </c>
    </row>
    <row r="28" spans="1:3">
      <c r="A28" s="81" t="s">
        <v>425</v>
      </c>
    </row>
    <row r="29" spans="1:3">
      <c r="A29" s="81" t="s">
        <v>426</v>
      </c>
    </row>
  </sheetData>
  <phoneticPr fontId="1" type="noConversion"/>
  <hyperlinks>
    <hyperlink ref="A1" location="目錄!A1" display="返回" xr:uid="{00000000-0004-0000-0B00-000000000000}"/>
  </hyperlink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工作表12">
    <tabColor theme="1"/>
  </sheetPr>
  <dimension ref="A1:H35"/>
  <sheetViews>
    <sheetView workbookViewId="0">
      <pane ySplit="1" topLeftCell="A2" activePane="bottomLeft" state="frozen"/>
      <selection pane="bottomLeft" activeCell="A28" sqref="A28"/>
    </sheetView>
  </sheetViews>
  <sheetFormatPr defaultColWidth="9" defaultRowHeight="13.5"/>
  <cols>
    <col min="1" max="2" width="11.375" style="6" bestFit="1" customWidth="1"/>
    <col min="3" max="3" width="39.5" style="6" bestFit="1" customWidth="1"/>
    <col min="4" max="4" width="9" style="6"/>
    <col min="5" max="5" width="20.125" style="6" customWidth="1"/>
    <col min="6" max="16384" width="9" style="6"/>
  </cols>
  <sheetData>
    <row r="1" spans="1:8" s="2" customFormat="1" ht="21.95" thickBot="1">
      <c r="A1" s="1" t="s">
        <v>38</v>
      </c>
      <c r="E1" s="2" t="s">
        <v>183</v>
      </c>
    </row>
    <row r="2" spans="1:8">
      <c r="A2" s="216" t="s">
        <v>42</v>
      </c>
      <c r="B2" s="217"/>
      <c r="C2" s="5" t="s">
        <v>427</v>
      </c>
    </row>
    <row r="3" spans="1:8">
      <c r="A3" s="199" t="s">
        <v>44</v>
      </c>
      <c r="B3" s="200"/>
      <c r="C3" s="5" t="s">
        <v>428</v>
      </c>
    </row>
    <row r="4" spans="1:8">
      <c r="A4" s="46"/>
      <c r="C4" s="48"/>
    </row>
    <row r="5" spans="1:8">
      <c r="A5" s="46" t="s">
        <v>46</v>
      </c>
      <c r="B5" s="46"/>
      <c r="C5" s="46" t="s">
        <v>47</v>
      </c>
    </row>
    <row r="6" spans="1:8">
      <c r="A6" s="45" t="s">
        <v>48</v>
      </c>
      <c r="B6" s="44" t="s">
        <v>49</v>
      </c>
      <c r="C6" s="43" t="s">
        <v>50</v>
      </c>
      <c r="D6" s="43" t="s">
        <v>51</v>
      </c>
      <c r="E6" s="35"/>
    </row>
    <row r="7" spans="1:8">
      <c r="A7" s="6" t="s">
        <v>52</v>
      </c>
      <c r="B7" s="41">
        <v>8</v>
      </c>
      <c r="C7" s="6" t="s">
        <v>429</v>
      </c>
      <c r="D7" s="41" t="s">
        <v>54</v>
      </c>
      <c r="E7" s="35" t="s">
        <v>430</v>
      </c>
    </row>
    <row r="8" spans="1:8" s="47" customFormat="1">
      <c r="A8" s="41" t="s">
        <v>55</v>
      </c>
      <c r="B8" s="41">
        <v>8</v>
      </c>
      <c r="C8" s="41" t="s">
        <v>56</v>
      </c>
      <c r="D8" s="41" t="s">
        <v>54</v>
      </c>
      <c r="E8" s="35" t="s">
        <v>57</v>
      </c>
    </row>
    <row r="9" spans="1:8">
      <c r="A9" s="41" t="s">
        <v>58</v>
      </c>
      <c r="B9" s="41">
        <v>8</v>
      </c>
      <c r="C9" s="41" t="s">
        <v>58</v>
      </c>
      <c r="D9" s="41" t="s">
        <v>59</v>
      </c>
      <c r="E9" s="35" t="s">
        <v>60</v>
      </c>
    </row>
    <row r="10" spans="1:8">
      <c r="A10" s="5" t="s">
        <v>44</v>
      </c>
      <c r="B10" s="213" t="s">
        <v>431</v>
      </c>
      <c r="C10" s="214"/>
      <c r="D10" s="215"/>
      <c r="E10" s="35"/>
    </row>
    <row r="11" spans="1:8">
      <c r="A11" s="46"/>
      <c r="B11" s="46"/>
      <c r="C11" s="46"/>
      <c r="E11" s="35"/>
    </row>
    <row r="12" spans="1:8">
      <c r="A12" s="46" t="s">
        <v>62</v>
      </c>
      <c r="B12" s="46"/>
      <c r="C12" s="46" t="s">
        <v>47</v>
      </c>
      <c r="E12" s="35"/>
    </row>
    <row r="13" spans="1:8">
      <c r="A13" s="45" t="s">
        <v>48</v>
      </c>
      <c r="B13" s="44"/>
      <c r="C13" s="43" t="s">
        <v>50</v>
      </c>
      <c r="D13" s="43" t="s">
        <v>51</v>
      </c>
      <c r="E13" s="35"/>
    </row>
    <row r="14" spans="1:8">
      <c r="A14" s="41" t="s">
        <v>432</v>
      </c>
      <c r="B14" s="41"/>
      <c r="C14" s="41" t="s">
        <v>433</v>
      </c>
      <c r="D14" s="41" t="s">
        <v>54</v>
      </c>
      <c r="E14" s="35" t="s">
        <v>434</v>
      </c>
    </row>
    <row r="15" spans="1:8">
      <c r="A15" s="41" t="s">
        <v>123</v>
      </c>
      <c r="B15" s="41"/>
      <c r="C15" s="41" t="s">
        <v>54</v>
      </c>
      <c r="D15" s="41" t="s">
        <v>54</v>
      </c>
      <c r="E15" s="35" t="s">
        <v>124</v>
      </c>
    </row>
    <row r="16" spans="1:8" ht="15.6">
      <c r="A16" s="41" t="s">
        <v>206</v>
      </c>
      <c r="B16" s="41"/>
      <c r="C16" s="41" t="s">
        <v>435</v>
      </c>
      <c r="D16" s="41" t="s">
        <v>54</v>
      </c>
      <c r="E16" s="35">
        <v>999999</v>
      </c>
      <c r="H16" s="42"/>
    </row>
    <row r="17" spans="1:6">
      <c r="A17" s="41" t="s">
        <v>63</v>
      </c>
      <c r="B17" s="41"/>
      <c r="C17" s="41" t="s">
        <v>64</v>
      </c>
      <c r="D17" s="41" t="s">
        <v>54</v>
      </c>
      <c r="E17" s="35" t="s">
        <v>189</v>
      </c>
    </row>
    <row r="18" spans="1:6">
      <c r="A18" s="41" t="s">
        <v>208</v>
      </c>
      <c r="B18" s="41"/>
      <c r="C18" s="41" t="s">
        <v>436</v>
      </c>
      <c r="D18" s="41" t="s">
        <v>54</v>
      </c>
      <c r="E18" s="35" t="s">
        <v>210</v>
      </c>
    </row>
    <row r="19" spans="1:6">
      <c r="A19" s="41" t="s">
        <v>212</v>
      </c>
      <c r="B19" s="41"/>
      <c r="C19" s="41" t="s">
        <v>54</v>
      </c>
      <c r="D19" s="41" t="s">
        <v>54</v>
      </c>
      <c r="E19" s="35" t="s">
        <v>437</v>
      </c>
    </row>
    <row r="20" spans="1:6">
      <c r="A20" s="41" t="s">
        <v>215</v>
      </c>
      <c r="B20" s="41"/>
      <c r="C20" s="41" t="s">
        <v>216</v>
      </c>
      <c r="D20" s="41" t="s">
        <v>54</v>
      </c>
      <c r="E20" s="35" t="s">
        <v>195</v>
      </c>
      <c r="F20" s="51"/>
    </row>
    <row r="21" spans="1:6">
      <c r="A21" s="6" t="s">
        <v>217</v>
      </c>
      <c r="B21" s="41"/>
      <c r="C21" s="41" t="s">
        <v>216</v>
      </c>
      <c r="D21" s="41" t="s">
        <v>54</v>
      </c>
      <c r="E21" s="35" t="s">
        <v>218</v>
      </c>
      <c r="F21" s="51"/>
    </row>
    <row r="22" spans="1:6" s="39" customFormat="1">
      <c r="A22" s="41" t="s">
        <v>220</v>
      </c>
      <c r="B22" s="41"/>
      <c r="C22" s="41" t="s">
        <v>438</v>
      </c>
      <c r="D22" s="41" t="s">
        <v>54</v>
      </c>
      <c r="E22" s="35" t="s">
        <v>222</v>
      </c>
    </row>
    <row r="23" spans="1:6" s="39" customFormat="1" ht="27">
      <c r="A23" s="41" t="s">
        <v>93</v>
      </c>
      <c r="B23" s="41"/>
      <c r="C23" s="41" t="s">
        <v>59</v>
      </c>
      <c r="D23" s="41" t="s">
        <v>54</v>
      </c>
      <c r="E23" s="40">
        <v>10008326</v>
      </c>
    </row>
    <row r="24" spans="1:6" s="39" customFormat="1">
      <c r="A24" s="58" t="s">
        <v>223</v>
      </c>
      <c r="B24" s="57"/>
      <c r="C24" s="56" t="s">
        <v>224</v>
      </c>
      <c r="D24" s="41" t="s">
        <v>54</v>
      </c>
      <c r="E24" s="40"/>
    </row>
    <row r="25" spans="1:6" s="39" customFormat="1">
      <c r="A25" s="58" t="s">
        <v>226</v>
      </c>
      <c r="B25" s="57"/>
      <c r="C25" s="56" t="s">
        <v>227</v>
      </c>
      <c r="D25" s="41" t="s">
        <v>54</v>
      </c>
      <c r="E25" s="40"/>
    </row>
    <row r="26" spans="1:6" ht="27">
      <c r="A26" s="58" t="s">
        <v>229</v>
      </c>
      <c r="B26" s="41"/>
      <c r="C26" s="41" t="s">
        <v>216</v>
      </c>
      <c r="D26" s="41" t="s">
        <v>54</v>
      </c>
      <c r="E26" s="35"/>
      <c r="F26" s="60" t="s">
        <v>439</v>
      </c>
    </row>
    <row r="27" spans="1:6" s="39" customFormat="1">
      <c r="A27" s="58" t="s">
        <v>231</v>
      </c>
      <c r="B27" s="41"/>
      <c r="C27" s="41" t="s">
        <v>216</v>
      </c>
      <c r="D27" s="41" t="s">
        <v>54</v>
      </c>
      <c r="E27" s="35" t="s">
        <v>218</v>
      </c>
      <c r="F27" s="59" t="s">
        <v>440</v>
      </c>
    </row>
    <row r="28" spans="1:6" s="39" customFormat="1">
      <c r="A28" s="49" t="s">
        <v>233</v>
      </c>
      <c r="B28" s="57"/>
      <c r="C28" s="56"/>
      <c r="D28" s="64"/>
      <c r="E28" s="35"/>
      <c r="F28" s="59"/>
    </row>
    <row r="29" spans="1:6" s="39" customFormat="1">
      <c r="A29" s="49" t="s">
        <v>243</v>
      </c>
      <c r="B29" s="57"/>
      <c r="C29" s="56"/>
      <c r="D29" s="64"/>
      <c r="E29" s="35"/>
      <c r="F29" s="59"/>
    </row>
    <row r="30" spans="1:6" ht="16.5" customHeight="1" thickBot="1">
      <c r="A30" s="5" t="s">
        <v>44</v>
      </c>
      <c r="B30" s="38" t="s">
        <v>441</v>
      </c>
      <c r="C30" s="37"/>
      <c r="D30" s="36"/>
      <c r="E30" s="35"/>
    </row>
    <row r="32" spans="1:6">
      <c r="A32" s="5" t="s">
        <v>68</v>
      </c>
      <c r="B32" s="54" t="s">
        <v>198</v>
      </c>
    </row>
    <row r="33" spans="1:2">
      <c r="A33" s="5" t="s">
        <v>70</v>
      </c>
      <c r="B33" s="5" t="s">
        <v>71</v>
      </c>
    </row>
    <row r="34" spans="1:2">
      <c r="A34" s="5" t="s">
        <v>72</v>
      </c>
      <c r="B34" s="5" t="s">
        <v>73</v>
      </c>
    </row>
    <row r="35" spans="1:2">
      <c r="A35" s="5" t="s">
        <v>74</v>
      </c>
      <c r="B35" s="5" t="s">
        <v>73</v>
      </c>
    </row>
  </sheetData>
  <mergeCells count="3">
    <mergeCell ref="A2:B2"/>
    <mergeCell ref="A3:B3"/>
    <mergeCell ref="B10:D10"/>
  </mergeCells>
  <phoneticPr fontId="1" type="noConversion"/>
  <hyperlinks>
    <hyperlink ref="A1" location="目錄!A1" display="返回" xr:uid="{00000000-0004-0000-0D00-000000000000}"/>
  </hyperlinks>
  <pageMargins left="0.75" right="0.75" top="1" bottom="1" header="0.5" footer="0.5"/>
  <pageSetup paperSize="9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工作表15">
    <tabColor theme="1"/>
  </sheetPr>
  <dimension ref="A1:R36"/>
  <sheetViews>
    <sheetView zoomScale="80" zoomScaleNormal="80" workbookViewId="0">
      <pane ySplit="1" topLeftCell="A5" activePane="bottomLeft" state="frozen"/>
      <selection pane="bottomLeft" activeCell="C8" sqref="C8"/>
    </sheetView>
  </sheetViews>
  <sheetFormatPr defaultColWidth="9" defaultRowHeight="15.6"/>
  <cols>
    <col min="1" max="1" width="12.875" style="2" bestFit="1" customWidth="1"/>
    <col min="2" max="2" width="11.625" style="2" customWidth="1"/>
    <col min="3" max="3" width="17.875" style="2" customWidth="1"/>
    <col min="4" max="4" width="23.125" style="2" customWidth="1"/>
    <col min="5" max="5" width="14.125" style="2" bestFit="1" customWidth="1"/>
    <col min="6" max="6" width="18.625" style="2" bestFit="1" customWidth="1"/>
    <col min="7" max="8" width="14" style="2" bestFit="1" customWidth="1"/>
    <col min="9" max="9" width="12.125" style="2" bestFit="1" customWidth="1"/>
    <col min="10" max="10" width="27.5" style="2" bestFit="1" customWidth="1"/>
    <col min="11" max="11" width="9" style="2"/>
    <col min="12" max="12" width="11.625" style="2" bestFit="1" customWidth="1"/>
    <col min="13" max="16384" width="9" style="2"/>
  </cols>
  <sheetData>
    <row r="1" spans="1:18" ht="21.95" thickBot="1">
      <c r="A1" s="1" t="s">
        <v>38</v>
      </c>
    </row>
    <row r="3" spans="1:18" s="6" customFormat="1" ht="13.5">
      <c r="A3" s="3" t="s">
        <v>42</v>
      </c>
      <c r="B3" s="4" t="s">
        <v>442</v>
      </c>
      <c r="C3" s="5"/>
    </row>
    <row r="4" spans="1:18" s="6" customFormat="1" ht="13.5">
      <c r="A4" s="3" t="s">
        <v>44</v>
      </c>
      <c r="B4" s="4" t="s">
        <v>443</v>
      </c>
      <c r="C4" s="5"/>
    </row>
    <row r="6" spans="1:18" ht="40.35" customHeight="1">
      <c r="A6" s="2" t="s">
        <v>251</v>
      </c>
      <c r="J6" s="218" t="s">
        <v>444</v>
      </c>
      <c r="K6" s="218"/>
      <c r="L6" s="218"/>
      <c r="M6" s="218"/>
      <c r="N6" s="219" t="s">
        <v>445</v>
      </c>
      <c r="O6" s="219"/>
      <c r="P6" s="219"/>
      <c r="Q6" s="2" t="s">
        <v>446</v>
      </c>
    </row>
    <row r="7" spans="1:18" ht="68.099999999999994">
      <c r="A7" s="7" t="s">
        <v>252</v>
      </c>
      <c r="B7" s="8" t="s">
        <v>63</v>
      </c>
      <c r="C7" s="8" t="s">
        <v>254</v>
      </c>
      <c r="D7" s="8" t="s">
        <v>255</v>
      </c>
      <c r="E7" s="8" t="s">
        <v>447</v>
      </c>
      <c r="F7" s="8" t="s">
        <v>448</v>
      </c>
      <c r="G7" s="8" t="s">
        <v>449</v>
      </c>
      <c r="H7" s="8" t="s">
        <v>450</v>
      </c>
      <c r="I7" s="8" t="s">
        <v>451</v>
      </c>
      <c r="J7" s="8" t="s">
        <v>452</v>
      </c>
      <c r="K7" s="2" t="s">
        <v>453</v>
      </c>
      <c r="L7" s="2" t="s">
        <v>454</v>
      </c>
      <c r="M7" s="2" t="s">
        <v>455</v>
      </c>
      <c r="N7" s="63" t="s">
        <v>456</v>
      </c>
      <c r="O7" s="63" t="s">
        <v>457</v>
      </c>
      <c r="P7" s="63" t="s">
        <v>458</v>
      </c>
      <c r="Q7" s="63" t="s">
        <v>459</v>
      </c>
      <c r="R7" s="2" t="s">
        <v>460</v>
      </c>
    </row>
    <row r="8" spans="1:18" ht="30.95">
      <c r="A8" s="9" t="s">
        <v>256</v>
      </c>
      <c r="B8" s="10"/>
      <c r="C8" s="10"/>
      <c r="D8" s="10">
        <v>1420</v>
      </c>
      <c r="E8" s="10" t="s">
        <v>461</v>
      </c>
      <c r="F8" s="10"/>
      <c r="G8" s="10" t="s">
        <v>462</v>
      </c>
      <c r="H8" s="10" t="s">
        <v>463</v>
      </c>
      <c r="I8" s="10" t="s">
        <v>464</v>
      </c>
      <c r="J8" s="10" t="s">
        <v>465</v>
      </c>
      <c r="K8" s="73">
        <v>12</v>
      </c>
      <c r="L8" s="73">
        <v>13</v>
      </c>
      <c r="M8" s="73">
        <v>14</v>
      </c>
      <c r="N8" s="33">
        <v>1470</v>
      </c>
      <c r="O8" s="33">
        <v>1471</v>
      </c>
      <c r="P8" s="33">
        <v>1472</v>
      </c>
      <c r="Q8" s="33">
        <v>1478</v>
      </c>
    </row>
    <row r="9" spans="1:18" ht="17.100000000000001" hidden="1">
      <c r="A9" s="9" t="s">
        <v>257</v>
      </c>
      <c r="B9" s="10">
        <v>8</v>
      </c>
      <c r="C9" s="10">
        <v>8</v>
      </c>
      <c r="D9" s="10">
        <v>8</v>
      </c>
      <c r="E9" s="10">
        <v>8</v>
      </c>
      <c r="F9" s="10">
        <v>8</v>
      </c>
      <c r="G9" s="10">
        <v>8</v>
      </c>
      <c r="H9" s="10">
        <v>8</v>
      </c>
      <c r="I9" s="10">
        <v>8</v>
      </c>
      <c r="J9" s="10">
        <v>8</v>
      </c>
      <c r="N9" s="33">
        <v>1470</v>
      </c>
      <c r="O9" s="33">
        <v>1471</v>
      </c>
      <c r="P9" s="33">
        <v>1472</v>
      </c>
      <c r="Q9" s="33">
        <v>1478</v>
      </c>
    </row>
    <row r="10" spans="1:18">
      <c r="A10" s="9" t="s">
        <v>258</v>
      </c>
      <c r="B10" s="10" t="s">
        <v>259</v>
      </c>
      <c r="C10" s="10" t="s">
        <v>259</v>
      </c>
      <c r="D10" s="10" t="s">
        <v>259</v>
      </c>
      <c r="E10" s="10" t="s">
        <v>259</v>
      </c>
      <c r="F10" s="10" t="s">
        <v>259</v>
      </c>
      <c r="G10" s="10" t="s">
        <v>259</v>
      </c>
      <c r="H10" s="10" t="s">
        <v>259</v>
      </c>
      <c r="I10" s="10" t="s">
        <v>259</v>
      </c>
      <c r="J10" s="10" t="s">
        <v>259</v>
      </c>
    </row>
    <row r="11" spans="1:18">
      <c r="A11" s="9" t="s">
        <v>312</v>
      </c>
      <c r="B11" s="10">
        <v>10004617</v>
      </c>
      <c r="C11" s="10">
        <v>20120320</v>
      </c>
      <c r="D11" s="11"/>
      <c r="E11" s="11" t="s">
        <v>466</v>
      </c>
      <c r="G11" s="10">
        <v>2</v>
      </c>
      <c r="H11" s="10">
        <v>2</v>
      </c>
      <c r="I11" s="10">
        <v>10</v>
      </c>
      <c r="J11" s="10"/>
    </row>
    <row r="12" spans="1:18">
      <c r="A12" s="9" t="s">
        <v>260</v>
      </c>
      <c r="B12" s="10" t="s">
        <v>261</v>
      </c>
      <c r="C12" s="10">
        <v>20120320</v>
      </c>
      <c r="D12" s="10">
        <v>168</v>
      </c>
      <c r="E12" s="11"/>
      <c r="F12" s="10"/>
      <c r="G12" s="10">
        <v>2</v>
      </c>
      <c r="H12" s="10">
        <v>2</v>
      </c>
      <c r="I12" s="10">
        <v>10</v>
      </c>
      <c r="J12" s="11"/>
    </row>
    <row r="13" spans="1:18" ht="77.45">
      <c r="A13" s="9" t="s">
        <v>262</v>
      </c>
      <c r="B13" s="11"/>
      <c r="C13" s="72" t="s">
        <v>263</v>
      </c>
      <c r="D13" s="12" t="s">
        <v>264</v>
      </c>
      <c r="E13" s="12" t="s">
        <v>467</v>
      </c>
      <c r="F13" s="13" t="s">
        <v>468</v>
      </c>
      <c r="G13" s="14"/>
      <c r="H13" s="14"/>
      <c r="I13" s="14"/>
      <c r="J13" s="12" t="s">
        <v>469</v>
      </c>
    </row>
    <row r="15" spans="1:18">
      <c r="B15" s="8" t="s">
        <v>63</v>
      </c>
      <c r="C15" s="8" t="s">
        <v>254</v>
      </c>
      <c r="D15" s="8" t="s">
        <v>255</v>
      </c>
      <c r="E15" s="8" t="s">
        <v>447</v>
      </c>
      <c r="F15" s="8" t="s">
        <v>448</v>
      </c>
      <c r="G15" s="8" t="s">
        <v>449</v>
      </c>
      <c r="H15" s="8" t="s">
        <v>450</v>
      </c>
      <c r="I15" s="8" t="s">
        <v>470</v>
      </c>
      <c r="J15" s="8" t="s">
        <v>471</v>
      </c>
    </row>
    <row r="16" spans="1:18" ht="17.100000000000001">
      <c r="A16" s="15" t="s">
        <v>472</v>
      </c>
      <c r="B16" s="16"/>
      <c r="C16" s="16"/>
      <c r="D16" s="17"/>
      <c r="E16" s="18"/>
      <c r="G16" s="16"/>
      <c r="H16" s="16"/>
      <c r="I16" s="16"/>
      <c r="J16" s="16"/>
    </row>
    <row r="17" spans="1:10" ht="17.100000000000001">
      <c r="A17" s="19" t="s">
        <v>473</v>
      </c>
      <c r="B17" s="20"/>
      <c r="C17" s="20"/>
      <c r="D17" s="21"/>
      <c r="E17" s="17"/>
      <c r="F17" s="17"/>
      <c r="G17" s="20"/>
      <c r="H17" s="20"/>
      <c r="I17" s="20"/>
      <c r="J17" s="22"/>
    </row>
    <row r="18" spans="1:10">
      <c r="B18" s="23">
        <v>10195176</v>
      </c>
      <c r="C18" s="24">
        <v>20130120</v>
      </c>
      <c r="D18" s="24">
        <v>26</v>
      </c>
      <c r="E18" s="24">
        <v>5</v>
      </c>
      <c r="F18" s="24"/>
      <c r="G18" s="24">
        <v>0</v>
      </c>
      <c r="H18" s="24">
        <v>0</v>
      </c>
      <c r="I18" s="24">
        <v>0</v>
      </c>
      <c r="J18" s="24">
        <v>0</v>
      </c>
    </row>
    <row r="19" spans="1:10" ht="18">
      <c r="A19" s="52" t="s">
        <v>265</v>
      </c>
      <c r="I19" s="25"/>
    </row>
    <row r="20" spans="1:10" ht="18">
      <c r="A20" s="52" t="s">
        <v>266</v>
      </c>
    </row>
    <row r="36" spans="1:1">
      <c r="A36" s="31" t="s">
        <v>474</v>
      </c>
    </row>
  </sheetData>
  <mergeCells count="2">
    <mergeCell ref="J6:M6"/>
    <mergeCell ref="N6:P6"/>
  </mergeCells>
  <phoneticPr fontId="1" type="noConversion"/>
  <hyperlinks>
    <hyperlink ref="A1" location="目錄!A1" display="返回" xr:uid="{00000000-0004-0000-0E00-000000000000}"/>
  </hyperlinks>
  <pageMargins left="0.7" right="0.7" top="0.75" bottom="0.75" header="0.3" footer="0.3"/>
  <pageSetup paperSize="9" orientation="portrait" horizontalDpi="300" verticalDpi="3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林鼎翔</dc:creator>
  <cp:keywords/>
  <dc:description/>
  <cp:lastModifiedBy/>
  <cp:revision/>
  <dcterms:created xsi:type="dcterms:W3CDTF">2018-01-02T06:48:59Z</dcterms:created>
  <dcterms:modified xsi:type="dcterms:W3CDTF">2026-06-09T07:23:06Z</dcterms:modified>
  <cp:category/>
  <cp:contentStatus/>
</cp:coreProperties>
</file>